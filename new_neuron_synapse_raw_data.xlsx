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gx-my.sharepoint.com/personal/petra_talapka_gerresheimer_com/Documents/Desktop/Petra_Talapka/portfolio/"/>
    </mc:Choice>
  </mc:AlternateContent>
  <xr:revisionPtr revIDLastSave="22" documentId="8_{1FB99CEF-501B-4F77-AC8F-67AF885E5BAD}" xr6:coauthVersionLast="47" xr6:coauthVersionMax="47" xr10:uidLastSave="{F0387DC9-39A2-46CF-AA3D-B78ACF476BC6}"/>
  <bookViews>
    <workbookView xWindow="-28920" yWindow="-120" windowWidth="29040" windowHeight="15720" xr2:uid="{E187EC1F-704A-4BE0-9EAB-77F0C9B932F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1" l="1"/>
  <c r="W11" i="1"/>
  <c r="V11" i="1"/>
  <c r="U11" i="1"/>
  <c r="T11" i="1"/>
  <c r="S11" i="1"/>
  <c r="S2" i="1"/>
  <c r="S3" i="1"/>
  <c r="S4" i="1"/>
  <c r="S5" i="1"/>
  <c r="S6" i="1"/>
  <c r="S7" i="1"/>
  <c r="S8" i="1"/>
  <c r="S9" i="1"/>
  <c r="S10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X23" i="1"/>
  <c r="X24" i="1"/>
  <c r="X25" i="1"/>
  <c r="X26" i="1"/>
  <c r="X27" i="1"/>
  <c r="X28" i="1"/>
  <c r="X29" i="1"/>
  <c r="X30" i="1"/>
  <c r="X31" i="1"/>
  <c r="X22" i="1"/>
  <c r="W23" i="1"/>
  <c r="W24" i="1"/>
  <c r="W25" i="1"/>
  <c r="W26" i="1"/>
  <c r="W27" i="1"/>
  <c r="W28" i="1"/>
  <c r="W29" i="1"/>
  <c r="W30" i="1"/>
  <c r="W31" i="1"/>
  <c r="W22" i="1"/>
  <c r="V23" i="1"/>
  <c r="V24" i="1"/>
  <c r="V25" i="1"/>
  <c r="V26" i="1"/>
  <c r="V27" i="1"/>
  <c r="V28" i="1"/>
  <c r="V29" i="1"/>
  <c r="V30" i="1"/>
  <c r="V31" i="1"/>
  <c r="V22" i="1"/>
  <c r="U23" i="1"/>
  <c r="U24" i="1"/>
  <c r="U25" i="1"/>
  <c r="U26" i="1"/>
  <c r="U27" i="1"/>
  <c r="U28" i="1"/>
  <c r="U29" i="1"/>
  <c r="U30" i="1"/>
  <c r="U31" i="1"/>
  <c r="U22" i="1"/>
  <c r="T23" i="1"/>
  <c r="T24" i="1"/>
  <c r="T25" i="1"/>
  <c r="T26" i="1"/>
  <c r="T27" i="1"/>
  <c r="T28" i="1"/>
  <c r="T29" i="1"/>
  <c r="T30" i="1"/>
  <c r="T31" i="1"/>
  <c r="T22" i="1"/>
  <c r="X13" i="1"/>
  <c r="X14" i="1"/>
  <c r="X15" i="1"/>
  <c r="X16" i="1"/>
  <c r="X17" i="1"/>
  <c r="X18" i="1"/>
  <c r="X19" i="1"/>
  <c r="X20" i="1"/>
  <c r="X21" i="1"/>
  <c r="X12" i="1"/>
  <c r="W13" i="1"/>
  <c r="W14" i="1"/>
  <c r="W15" i="1"/>
  <c r="W16" i="1"/>
  <c r="W17" i="1"/>
  <c r="W18" i="1"/>
  <c r="W19" i="1"/>
  <c r="W20" i="1"/>
  <c r="W21" i="1"/>
  <c r="W12" i="1"/>
  <c r="V13" i="1"/>
  <c r="V14" i="1"/>
  <c r="V15" i="1"/>
  <c r="V16" i="1"/>
  <c r="V17" i="1"/>
  <c r="V18" i="1"/>
  <c r="V19" i="1"/>
  <c r="V20" i="1"/>
  <c r="V21" i="1"/>
  <c r="V12" i="1"/>
  <c r="U13" i="1"/>
  <c r="U14" i="1"/>
  <c r="U15" i="1"/>
  <c r="U16" i="1"/>
  <c r="U17" i="1"/>
  <c r="U18" i="1"/>
  <c r="U19" i="1"/>
  <c r="U20" i="1"/>
  <c r="U21" i="1"/>
  <c r="U12" i="1"/>
  <c r="T13" i="1"/>
  <c r="T14" i="1"/>
  <c r="T15" i="1"/>
  <c r="T16" i="1"/>
  <c r="T17" i="1"/>
  <c r="T18" i="1"/>
  <c r="T19" i="1"/>
  <c r="T20" i="1"/>
  <c r="T21" i="1"/>
  <c r="T12" i="1"/>
  <c r="X2" i="1"/>
  <c r="X3" i="1"/>
  <c r="X4" i="1"/>
  <c r="X5" i="1"/>
  <c r="X6" i="1"/>
  <c r="X7" i="1"/>
  <c r="X8" i="1"/>
  <c r="X9" i="1"/>
  <c r="X10" i="1"/>
  <c r="W2" i="1"/>
  <c r="W3" i="1"/>
  <c r="W4" i="1"/>
  <c r="W5" i="1"/>
  <c r="W6" i="1"/>
  <c r="W7" i="1"/>
  <c r="W8" i="1"/>
  <c r="W9" i="1"/>
  <c r="W10" i="1"/>
  <c r="V2" i="1"/>
  <c r="V3" i="1"/>
  <c r="V4" i="1"/>
  <c r="V5" i="1"/>
  <c r="V6" i="1"/>
  <c r="V7" i="1"/>
  <c r="V8" i="1"/>
  <c r="V9" i="1"/>
  <c r="V10" i="1"/>
  <c r="U2" i="1"/>
  <c r="U3" i="1"/>
  <c r="U4" i="1"/>
  <c r="U5" i="1"/>
  <c r="U6" i="1"/>
  <c r="U7" i="1"/>
  <c r="U8" i="1"/>
  <c r="U9" i="1"/>
  <c r="U10" i="1"/>
  <c r="T2" i="1"/>
  <c r="T3" i="1"/>
  <c r="T4" i="1"/>
  <c r="T5" i="1"/>
  <c r="T6" i="1"/>
  <c r="T7" i="1"/>
  <c r="T8" i="1"/>
  <c r="T9" i="1"/>
  <c r="T10" i="1"/>
</calcChain>
</file>

<file path=xl/sharedStrings.xml><?xml version="1.0" encoding="utf-8"?>
<sst xmlns="http://schemas.openxmlformats.org/spreadsheetml/2006/main" count="84" uniqueCount="29">
  <si>
    <t>NeuronId</t>
  </si>
  <si>
    <t>SynType</t>
  </si>
  <si>
    <t>SynId</t>
  </si>
  <si>
    <t>x</t>
  </si>
  <si>
    <t>y</t>
  </si>
  <si>
    <t>z</t>
  </si>
  <si>
    <t>soma_x</t>
  </si>
  <si>
    <t>soma_y</t>
  </si>
  <si>
    <t>soma_z</t>
  </si>
  <si>
    <t>corr_x</t>
  </si>
  <si>
    <t>corr_y</t>
  </si>
  <si>
    <t>corr_z</t>
  </si>
  <si>
    <t>corr_soma_x</t>
  </si>
  <si>
    <t>corr_soma_y</t>
  </si>
  <si>
    <t>corr_soma_z</t>
  </si>
  <si>
    <t>SynArea</t>
  </si>
  <si>
    <t>BoutonArea</t>
  </si>
  <si>
    <t>BoutonVolume</t>
  </si>
  <si>
    <t>corr_x_micron</t>
  </si>
  <si>
    <t>corr_y_micron</t>
  </si>
  <si>
    <t>corr_z_micron</t>
  </si>
  <si>
    <t>corr_soma_x_micron</t>
  </si>
  <si>
    <t>corr_soma_y_micron</t>
  </si>
  <si>
    <t>corr_soma_z_micron</t>
  </si>
  <si>
    <t>cb3</t>
  </si>
  <si>
    <t>as</t>
  </si>
  <si>
    <t>ss</t>
  </si>
  <si>
    <t>cr2</t>
  </si>
  <si>
    <t>pv1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</si>
</sst>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38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2" fontId="4" fillId="0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</cellXfs>
  <cellStyles count="1">
    <cellStyle name="Standard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0.0000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0.000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32923-A9CB-4500-89BD-14A3D2E1F87D}" name="Tabelle1" displayName="Tabelle1" ref="A1:X31" totalsRowShown="0" headerRowDxfId="25" dataDxfId="24">
  <autoFilter ref="A1:X31" xr:uid="{B0332923-A9CB-4500-89BD-14A3D2E1F87D}"/>
  <tableColumns count="24">
    <tableColumn id="1" xr3:uid="{AB5E4968-D89E-4C06-81A6-A58ED29A5EB7}" name="NeuronId" dataDxfId="23"/>
    <tableColumn id="2" xr3:uid="{75346477-1A8C-4DDE-99C8-AD5CA74B08F6}" name="SynType" dataDxfId="22"/>
    <tableColumn id="3" xr3:uid="{C867CF4F-27D7-4F57-A42E-54A2421D135E}" name="SynId" dataDxfId="21"/>
    <tableColumn id="4" xr3:uid="{39D62A86-23FA-4FBC-B20E-EB6A8963A8F1}" name="x" dataDxfId="20"/>
    <tableColumn id="5" xr3:uid="{B88DFCE1-14FB-44C4-97C3-E45A394950F5}" name="y" dataDxfId="19"/>
    <tableColumn id="6" xr3:uid="{A81C746B-3C8F-43B7-9490-8E6035D3ACF1}" name="z" dataDxfId="18"/>
    <tableColumn id="7" xr3:uid="{5E92477C-FAE7-4438-B75A-6FED1AF4CB7A}" name="soma_x" dataDxfId="17"/>
    <tableColumn id="8" xr3:uid="{B968F014-D042-4845-B02D-13363B9FB01A}" name="soma_y" dataDxfId="16"/>
    <tableColumn id="9" xr3:uid="{163B21F9-B770-454F-AE1C-61AD460F85D3}" name="soma_z" dataDxfId="15"/>
    <tableColumn id="10" xr3:uid="{7A637BFB-638F-468F-833B-19D9B80D40CB}" name="corr_x" dataDxfId="14"/>
    <tableColumn id="11" xr3:uid="{3453A6E8-9C7F-4620-9558-DDC682B22547}" name="corr_y" dataDxfId="13"/>
    <tableColumn id="12" xr3:uid="{45D001CD-4C7C-498C-8F86-169B4D241ED4}" name="corr_z" dataDxfId="12"/>
    <tableColumn id="13" xr3:uid="{F9C1FC07-2E31-49AD-B134-6F066144EE45}" name="corr_soma_x" dataDxfId="11"/>
    <tableColumn id="14" xr3:uid="{47D2E39B-7651-4B85-BEBD-A1655D1CF49C}" name="corr_soma_y" dataDxfId="10"/>
    <tableColumn id="15" xr3:uid="{ED97CB6C-7A36-4691-BB4C-9402B1A8879A}" name="corr_soma_z" dataDxfId="9"/>
    <tableColumn id="16" xr3:uid="{AB9CE117-197C-41E6-B383-CFC99143727C}" name="SynArea" dataDxfId="8"/>
    <tableColumn id="17" xr3:uid="{1796A737-FADA-471F-995D-933AF086971B}" name="BoutonArea" dataDxfId="7"/>
    <tableColumn id="18" xr3:uid="{207E572A-C399-415F-A850-43D71247F585}" name="BoutonVolume" dataDxfId="6"/>
    <tableColumn id="19" xr3:uid="{B3336B27-5397-4CAE-97B3-B6C2D2233B41}" name="corr_x_micron" dataDxfId="0">
      <calculatedColumnFormula>J2/1000</calculatedColumnFormula>
    </tableColumn>
    <tableColumn id="20" xr3:uid="{A7373FBD-4235-4689-A67C-FB2289327272}" name="corr_y_micron" dataDxfId="5">
      <calculatedColumnFormula>K2/1000</calculatedColumnFormula>
    </tableColumn>
    <tableColumn id="21" xr3:uid="{66820E8A-F34C-4C58-8E21-A31968112F24}" name="corr_z_micron" dataDxfId="4">
      <calculatedColumnFormula>L2/1000</calculatedColumnFormula>
    </tableColumn>
    <tableColumn id="22" xr3:uid="{F044A5FA-EC48-4FC6-BC33-D66A6C13CD20}" name="corr_soma_x_micron" dataDxfId="3">
      <calculatedColumnFormula>M2/1000</calculatedColumnFormula>
    </tableColumn>
    <tableColumn id="23" xr3:uid="{856C5EAF-E9CE-4FB7-827E-D7649787A264}" name="corr_soma_y_micron" dataDxfId="2">
      <calculatedColumnFormula>N2/1000</calculatedColumnFormula>
    </tableColumn>
    <tableColumn id="24" xr3:uid="{A08A89CE-8D46-49D2-AAE5-B040741859BC}" name="corr_soma_z_micron" dataDxfId="1">
      <calculatedColumnFormula>O2/1000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6F8D-50EF-4187-855B-A31FFDA9C644}">
  <dimension ref="A1:X50"/>
  <sheetViews>
    <sheetView tabSelected="1" topLeftCell="F1" workbookViewId="0">
      <selection activeCell="X12" sqref="X12"/>
    </sheetView>
  </sheetViews>
  <sheetFormatPr baseColWidth="10" defaultRowHeight="15" x14ac:dyDescent="0.25"/>
  <cols>
    <col min="1" max="1" width="11.5703125" customWidth="1"/>
    <col min="2" max="2" width="10.7109375" customWidth="1"/>
    <col min="3" max="3" width="8.140625" customWidth="1"/>
    <col min="4" max="4" width="7.5703125" bestFit="1" customWidth="1"/>
    <col min="5" max="5" width="7.7109375" bestFit="1" customWidth="1"/>
    <col min="6" max="6" width="8.5703125" bestFit="1" customWidth="1"/>
    <col min="7" max="8" width="9.85546875" customWidth="1"/>
    <col min="9" max="9" width="9.7109375" customWidth="1"/>
    <col min="10" max="11" width="8.5703125" customWidth="1"/>
    <col min="12" max="12" width="8.42578125" customWidth="1"/>
    <col min="13" max="14" width="14.28515625" customWidth="1"/>
    <col min="15" max="15" width="14.140625" customWidth="1"/>
    <col min="16" max="16" width="11.5703125" bestFit="1" customWidth="1"/>
    <col min="17" max="17" width="13.5703125" customWidth="1"/>
    <col min="18" max="18" width="16.42578125" customWidth="1"/>
    <col min="19" max="20" width="15.7109375" customWidth="1"/>
    <col min="21" max="21" width="15.5703125" customWidth="1"/>
    <col min="22" max="23" width="21.42578125" customWidth="1"/>
    <col min="24" max="24" width="21.28515625" customWidth="1"/>
  </cols>
  <sheetData>
    <row r="1" spans="1: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5">
      <c r="A2" s="5" t="s">
        <v>24</v>
      </c>
      <c r="B2" s="5" t="s">
        <v>25</v>
      </c>
      <c r="C2" s="5">
        <v>7</v>
      </c>
      <c r="D2" s="6">
        <v>7694.17</v>
      </c>
      <c r="E2" s="8">
        <v>2290.6799999999998</v>
      </c>
      <c r="F2" s="9">
        <v>8250</v>
      </c>
      <c r="G2" s="9">
        <v>4298.5200000000004</v>
      </c>
      <c r="H2" s="9">
        <v>7796.4</v>
      </c>
      <c r="I2" s="9">
        <v>350</v>
      </c>
      <c r="J2" s="8">
        <v>7694.17</v>
      </c>
      <c r="K2" s="8">
        <v>2290.6799999999998</v>
      </c>
      <c r="L2" s="9">
        <v>8250</v>
      </c>
      <c r="M2" s="9">
        <v>4298.5200000000004</v>
      </c>
      <c r="N2" s="9">
        <v>7796.4</v>
      </c>
      <c r="O2" s="9">
        <v>350</v>
      </c>
      <c r="P2" s="8">
        <v>9.2700000000000005E-2</v>
      </c>
      <c r="Q2" s="8">
        <v>1.8721000000000001</v>
      </c>
      <c r="R2" s="8">
        <v>0.13980000000000001</v>
      </c>
      <c r="S2" s="9">
        <f t="shared" ref="S2:S10" si="0">J2/1000</f>
        <v>7.6941699999999997</v>
      </c>
      <c r="T2" s="9">
        <f t="shared" ref="T2:T10" si="1">K2/1000</f>
        <v>2.29068</v>
      </c>
      <c r="U2" s="9">
        <f t="shared" ref="U2:U10" si="2">L2/1000</f>
        <v>8.25</v>
      </c>
      <c r="V2" s="9">
        <f t="shared" ref="V2:V10" si="3">M2/1000</f>
        <v>4.2985200000000008</v>
      </c>
      <c r="W2" s="9">
        <f t="shared" ref="W2:W10" si="4">N2/1000</f>
        <v>7.7963999999999993</v>
      </c>
      <c r="X2" s="9">
        <f t="shared" ref="X2:X10" si="5">O2/1000</f>
        <v>0.35</v>
      </c>
    </row>
    <row r="3" spans="1:24" x14ac:dyDescent="0.25">
      <c r="A3" s="5" t="s">
        <v>24</v>
      </c>
      <c r="B3" s="5" t="s">
        <v>26</v>
      </c>
      <c r="C3" s="5">
        <v>2</v>
      </c>
      <c r="D3" s="6">
        <v>9123.59</v>
      </c>
      <c r="E3" s="8">
        <v>4982.1400000000003</v>
      </c>
      <c r="F3" s="9">
        <v>9275</v>
      </c>
      <c r="G3" s="9">
        <v>4298.5200000000004</v>
      </c>
      <c r="H3" s="9">
        <v>7796.4</v>
      </c>
      <c r="I3" s="9">
        <v>350</v>
      </c>
      <c r="J3" s="8">
        <v>9123.59</v>
      </c>
      <c r="K3" s="8">
        <v>4982.1400000000003</v>
      </c>
      <c r="L3" s="9">
        <v>9275</v>
      </c>
      <c r="M3" s="9">
        <v>4298.5200000000004</v>
      </c>
      <c r="N3" s="9">
        <v>7796.4</v>
      </c>
      <c r="O3" s="9">
        <v>350</v>
      </c>
      <c r="P3" s="8">
        <v>6.54E-2</v>
      </c>
      <c r="Q3" s="8">
        <v>0.98229999999999995</v>
      </c>
      <c r="R3" s="8">
        <v>7.3499999999999996E-2</v>
      </c>
      <c r="S3" s="9">
        <f t="shared" si="0"/>
        <v>9.1235900000000001</v>
      </c>
      <c r="T3" s="9">
        <f t="shared" si="1"/>
        <v>4.9821400000000002</v>
      </c>
      <c r="U3" s="9">
        <f t="shared" si="2"/>
        <v>9.2750000000000004</v>
      </c>
      <c r="V3" s="9">
        <f t="shared" si="3"/>
        <v>4.2985200000000008</v>
      </c>
      <c r="W3" s="9">
        <f t="shared" si="4"/>
        <v>7.7963999999999993</v>
      </c>
      <c r="X3" s="9">
        <f t="shared" si="5"/>
        <v>0.35</v>
      </c>
    </row>
    <row r="4" spans="1:24" x14ac:dyDescent="0.25">
      <c r="A4" s="5" t="s">
        <v>24</v>
      </c>
      <c r="B4" s="5" t="s">
        <v>26</v>
      </c>
      <c r="C4" s="5">
        <v>3</v>
      </c>
      <c r="D4" s="6">
        <v>7140.28</v>
      </c>
      <c r="E4" s="8">
        <v>2750.73</v>
      </c>
      <c r="F4" s="9">
        <v>9800</v>
      </c>
      <c r="G4" s="9">
        <v>4298.5200000000004</v>
      </c>
      <c r="H4" s="9">
        <v>7796.4</v>
      </c>
      <c r="I4" s="9">
        <v>350</v>
      </c>
      <c r="J4" s="8">
        <v>7140.28</v>
      </c>
      <c r="K4" s="8">
        <v>2750.73</v>
      </c>
      <c r="L4" s="9">
        <v>9800</v>
      </c>
      <c r="M4" s="9">
        <v>4298.5200000000004</v>
      </c>
      <c r="N4" s="9">
        <v>7796.4</v>
      </c>
      <c r="O4" s="9">
        <v>350</v>
      </c>
      <c r="P4" s="8">
        <v>0.1111</v>
      </c>
      <c r="Q4" s="8">
        <v>3.7509999999999999</v>
      </c>
      <c r="R4" s="8">
        <v>0.31259999999999999</v>
      </c>
      <c r="S4" s="9">
        <f t="shared" si="0"/>
        <v>7.1402799999999997</v>
      </c>
      <c r="T4" s="9">
        <f t="shared" si="1"/>
        <v>2.7507299999999999</v>
      </c>
      <c r="U4" s="9">
        <f t="shared" si="2"/>
        <v>9.8000000000000007</v>
      </c>
      <c r="V4" s="9">
        <f t="shared" si="3"/>
        <v>4.2985200000000008</v>
      </c>
      <c r="W4" s="9">
        <f t="shared" si="4"/>
        <v>7.7963999999999993</v>
      </c>
      <c r="X4" s="9">
        <f t="shared" si="5"/>
        <v>0.35</v>
      </c>
    </row>
    <row r="5" spans="1:24" x14ac:dyDescent="0.25">
      <c r="A5" s="5" t="s">
        <v>24</v>
      </c>
      <c r="B5" s="5" t="s">
        <v>25</v>
      </c>
      <c r="C5" s="5">
        <v>8</v>
      </c>
      <c r="D5" s="6">
        <v>8935.66</v>
      </c>
      <c r="E5" s="8">
        <v>3025.19</v>
      </c>
      <c r="F5" s="9">
        <v>9850</v>
      </c>
      <c r="G5" s="9">
        <v>4298.5200000000004</v>
      </c>
      <c r="H5" s="9">
        <v>7796.4</v>
      </c>
      <c r="I5" s="9">
        <v>350</v>
      </c>
      <c r="J5" s="8">
        <v>8935.66</v>
      </c>
      <c r="K5" s="8">
        <v>3025.19</v>
      </c>
      <c r="L5" s="9">
        <v>9850</v>
      </c>
      <c r="M5" s="9">
        <v>4298.5200000000004</v>
      </c>
      <c r="N5" s="9">
        <v>7796.4</v>
      </c>
      <c r="O5" s="9">
        <v>350</v>
      </c>
      <c r="P5" s="8">
        <v>7.1499999999999994E-2</v>
      </c>
      <c r="Q5" s="8">
        <v>1.4379</v>
      </c>
      <c r="R5" s="8">
        <v>9.2100000000000001E-2</v>
      </c>
      <c r="S5" s="9">
        <f t="shared" si="0"/>
        <v>8.9356600000000004</v>
      </c>
      <c r="T5" s="9">
        <f t="shared" si="1"/>
        <v>3.0251900000000003</v>
      </c>
      <c r="U5" s="9">
        <f t="shared" si="2"/>
        <v>9.85</v>
      </c>
      <c r="V5" s="9">
        <f t="shared" si="3"/>
        <v>4.2985200000000008</v>
      </c>
      <c r="W5" s="9">
        <f t="shared" si="4"/>
        <v>7.7963999999999993</v>
      </c>
      <c r="X5" s="9">
        <f t="shared" si="5"/>
        <v>0.35</v>
      </c>
    </row>
    <row r="6" spans="1:24" x14ac:dyDescent="0.25">
      <c r="A6" s="5" t="s">
        <v>24</v>
      </c>
      <c r="B6" s="5" t="s">
        <v>26</v>
      </c>
      <c r="C6" s="5">
        <v>4</v>
      </c>
      <c r="D6" s="6">
        <v>7312.47</v>
      </c>
      <c r="E6" s="8">
        <v>4420.33</v>
      </c>
      <c r="F6" s="9">
        <v>10125</v>
      </c>
      <c r="G6" s="9">
        <v>4298.5200000000004</v>
      </c>
      <c r="H6" s="9">
        <v>7796.4</v>
      </c>
      <c r="I6" s="9">
        <v>350</v>
      </c>
      <c r="J6" s="8">
        <v>7312.47</v>
      </c>
      <c r="K6" s="8">
        <v>4420.33</v>
      </c>
      <c r="L6" s="9">
        <v>10125</v>
      </c>
      <c r="M6" s="9">
        <v>4298.5200000000004</v>
      </c>
      <c r="N6" s="9">
        <v>7796.4</v>
      </c>
      <c r="O6" s="9">
        <v>350</v>
      </c>
      <c r="P6" s="8">
        <v>8.8900000000000007E-2</v>
      </c>
      <c r="Q6" s="8">
        <v>2.9249999999999998</v>
      </c>
      <c r="R6" s="8">
        <v>0.2213</v>
      </c>
      <c r="S6" s="9">
        <f t="shared" si="0"/>
        <v>7.3124700000000002</v>
      </c>
      <c r="T6" s="9">
        <f t="shared" si="1"/>
        <v>4.4203299999999999</v>
      </c>
      <c r="U6" s="9">
        <f t="shared" si="2"/>
        <v>10.125</v>
      </c>
      <c r="V6" s="9">
        <f t="shared" si="3"/>
        <v>4.2985200000000008</v>
      </c>
      <c r="W6" s="9">
        <f t="shared" si="4"/>
        <v>7.7963999999999993</v>
      </c>
      <c r="X6" s="9">
        <f t="shared" si="5"/>
        <v>0.35</v>
      </c>
    </row>
    <row r="7" spans="1:24" x14ac:dyDescent="0.25">
      <c r="A7" s="5" t="s">
        <v>24</v>
      </c>
      <c r="B7" s="5" t="s">
        <v>25</v>
      </c>
      <c r="C7" s="5">
        <v>9</v>
      </c>
      <c r="D7" s="6">
        <v>8899.11</v>
      </c>
      <c r="E7" s="8">
        <v>3120.44</v>
      </c>
      <c r="F7" s="9">
        <v>11000</v>
      </c>
      <c r="G7" s="9">
        <v>4298.5200000000004</v>
      </c>
      <c r="H7" s="9">
        <v>7796.4</v>
      </c>
      <c r="I7" s="9">
        <v>350</v>
      </c>
      <c r="J7" s="8">
        <v>8899.11</v>
      </c>
      <c r="K7" s="8">
        <v>3120.44</v>
      </c>
      <c r="L7" s="9">
        <v>11000</v>
      </c>
      <c r="M7" s="9">
        <v>4298.5200000000004</v>
      </c>
      <c r="N7" s="9">
        <v>7796.4</v>
      </c>
      <c r="O7" s="9">
        <v>350</v>
      </c>
      <c r="P7" s="8">
        <v>6.3799999999999996E-2</v>
      </c>
      <c r="Q7" s="8">
        <v>0.86939999999999995</v>
      </c>
      <c r="R7" s="8">
        <v>6.25E-2</v>
      </c>
      <c r="S7" s="9">
        <f t="shared" si="0"/>
        <v>8.8991100000000003</v>
      </c>
      <c r="T7" s="9">
        <f t="shared" si="1"/>
        <v>3.1204399999999999</v>
      </c>
      <c r="U7" s="9">
        <f t="shared" si="2"/>
        <v>11</v>
      </c>
      <c r="V7" s="9">
        <f t="shared" si="3"/>
        <v>4.2985200000000008</v>
      </c>
      <c r="W7" s="9">
        <f t="shared" si="4"/>
        <v>7.7963999999999993</v>
      </c>
      <c r="X7" s="9">
        <f t="shared" si="5"/>
        <v>0.35</v>
      </c>
    </row>
    <row r="8" spans="1:24" x14ac:dyDescent="0.25">
      <c r="A8" s="5" t="s">
        <v>24</v>
      </c>
      <c r="B8" s="5" t="s">
        <v>25</v>
      </c>
      <c r="C8" s="5">
        <v>10</v>
      </c>
      <c r="D8" s="6">
        <v>8080.05</v>
      </c>
      <c r="E8" s="8">
        <v>3950.78</v>
      </c>
      <c r="F8" s="9">
        <v>11050</v>
      </c>
      <c r="G8" s="9">
        <v>4298.5200000000004</v>
      </c>
      <c r="H8" s="9">
        <v>7796.4</v>
      </c>
      <c r="I8" s="9">
        <v>350</v>
      </c>
      <c r="J8" s="8">
        <v>8080.05</v>
      </c>
      <c r="K8" s="8">
        <v>3950.78</v>
      </c>
      <c r="L8" s="9">
        <v>11050</v>
      </c>
      <c r="M8" s="9">
        <v>4298.5200000000004</v>
      </c>
      <c r="N8" s="9">
        <v>7796.4</v>
      </c>
      <c r="O8" s="9">
        <v>350</v>
      </c>
      <c r="P8" s="8">
        <v>9.6199999999999994E-2</v>
      </c>
      <c r="Q8" s="8">
        <v>3.3881000000000001</v>
      </c>
      <c r="R8" s="8">
        <v>0.27400000000000002</v>
      </c>
      <c r="S8" s="9">
        <f t="shared" si="0"/>
        <v>8.08005</v>
      </c>
      <c r="T8" s="9">
        <f t="shared" si="1"/>
        <v>3.9507800000000004</v>
      </c>
      <c r="U8" s="9">
        <f t="shared" si="2"/>
        <v>11.05</v>
      </c>
      <c r="V8" s="9">
        <f t="shared" si="3"/>
        <v>4.2985200000000008</v>
      </c>
      <c r="W8" s="9">
        <f t="shared" si="4"/>
        <v>7.7963999999999993</v>
      </c>
      <c r="X8" s="9">
        <f t="shared" si="5"/>
        <v>0.35</v>
      </c>
    </row>
    <row r="9" spans="1:24" x14ac:dyDescent="0.25">
      <c r="A9" s="5" t="s">
        <v>24</v>
      </c>
      <c r="B9" s="5" t="s">
        <v>25</v>
      </c>
      <c r="C9" s="5">
        <v>11</v>
      </c>
      <c r="D9" s="6">
        <v>7488.32</v>
      </c>
      <c r="E9" s="8">
        <v>2688.12</v>
      </c>
      <c r="F9" s="9">
        <v>11525</v>
      </c>
      <c r="G9" s="9">
        <v>4298.5200000000004</v>
      </c>
      <c r="H9" s="9">
        <v>7796.4</v>
      </c>
      <c r="I9" s="9">
        <v>350</v>
      </c>
      <c r="J9" s="8">
        <v>7488.32</v>
      </c>
      <c r="K9" s="8">
        <v>2688.12</v>
      </c>
      <c r="L9" s="9">
        <v>11525</v>
      </c>
      <c r="M9" s="9">
        <v>4298.5200000000004</v>
      </c>
      <c r="N9" s="9">
        <v>7796.4</v>
      </c>
      <c r="O9" s="9">
        <v>350</v>
      </c>
      <c r="P9" s="8">
        <v>7.9399999999999998E-2</v>
      </c>
      <c r="Q9" s="8">
        <v>1.2956000000000001</v>
      </c>
      <c r="R9" s="8">
        <v>0.1017</v>
      </c>
      <c r="S9" s="9">
        <f t="shared" si="0"/>
        <v>7.4883199999999999</v>
      </c>
      <c r="T9" s="9">
        <f t="shared" si="1"/>
        <v>2.6881200000000001</v>
      </c>
      <c r="U9" s="9">
        <f t="shared" si="2"/>
        <v>11.525</v>
      </c>
      <c r="V9" s="9">
        <f t="shared" si="3"/>
        <v>4.2985200000000008</v>
      </c>
      <c r="W9" s="9">
        <f t="shared" si="4"/>
        <v>7.7963999999999993</v>
      </c>
      <c r="X9" s="9">
        <f t="shared" si="5"/>
        <v>0.35</v>
      </c>
    </row>
    <row r="10" spans="1:24" x14ac:dyDescent="0.25">
      <c r="A10" s="5" t="s">
        <v>24</v>
      </c>
      <c r="B10" s="5" t="s">
        <v>25</v>
      </c>
      <c r="C10" s="5">
        <v>12</v>
      </c>
      <c r="D10" s="6">
        <v>8730.9</v>
      </c>
      <c r="E10" s="8">
        <v>3599.66</v>
      </c>
      <c r="F10" s="9">
        <v>12075</v>
      </c>
      <c r="G10" s="9">
        <v>4298.5200000000004</v>
      </c>
      <c r="H10" s="9">
        <v>7796.4</v>
      </c>
      <c r="I10" s="9">
        <v>350</v>
      </c>
      <c r="J10" s="8">
        <v>8730.9</v>
      </c>
      <c r="K10" s="8">
        <v>3599.66</v>
      </c>
      <c r="L10" s="9">
        <v>12075</v>
      </c>
      <c r="M10" s="9">
        <v>4298.5200000000004</v>
      </c>
      <c r="N10" s="9">
        <v>7796.4</v>
      </c>
      <c r="O10" s="9">
        <v>350</v>
      </c>
      <c r="P10" s="8">
        <v>8.5099999999999995E-2</v>
      </c>
      <c r="Q10" s="8">
        <v>4.1123000000000003</v>
      </c>
      <c r="R10" s="8">
        <v>0.3518</v>
      </c>
      <c r="S10" s="9">
        <f t="shared" si="0"/>
        <v>8.7309000000000001</v>
      </c>
      <c r="T10" s="9">
        <f t="shared" si="1"/>
        <v>3.5996599999999996</v>
      </c>
      <c r="U10" s="9">
        <f t="shared" si="2"/>
        <v>12.074999999999999</v>
      </c>
      <c r="V10" s="9">
        <f t="shared" si="3"/>
        <v>4.2985200000000008</v>
      </c>
      <c r="W10" s="9">
        <f t="shared" si="4"/>
        <v>7.7963999999999993</v>
      </c>
      <c r="X10" s="9">
        <f t="shared" si="5"/>
        <v>0.35</v>
      </c>
    </row>
    <row r="11" spans="1:24" x14ac:dyDescent="0.25">
      <c r="A11" s="11" t="s">
        <v>24</v>
      </c>
      <c r="B11" s="11" t="s">
        <v>26</v>
      </c>
      <c r="C11" s="11">
        <v>5</v>
      </c>
      <c r="D11" s="7">
        <v>7925.12</v>
      </c>
      <c r="E11" s="10">
        <v>4256.0200000000004</v>
      </c>
      <c r="F11" s="12">
        <v>13000</v>
      </c>
      <c r="G11" s="9">
        <v>4298.5200000000004</v>
      </c>
      <c r="H11" s="9">
        <v>7796.4</v>
      </c>
      <c r="I11" s="9">
        <v>350</v>
      </c>
      <c r="J11" s="8">
        <v>8730.9</v>
      </c>
      <c r="K11" s="8">
        <v>3599.66</v>
      </c>
      <c r="L11" s="9">
        <v>12075</v>
      </c>
      <c r="M11" s="9">
        <v>4298.5200000000004</v>
      </c>
      <c r="N11" s="9">
        <v>7796.4</v>
      </c>
      <c r="O11" s="9">
        <v>350</v>
      </c>
      <c r="P11" s="10">
        <v>7.3200000000000001E-2</v>
      </c>
      <c r="Q11" s="10">
        <v>3.2850000000000001</v>
      </c>
      <c r="R11" s="10">
        <v>0.19650000000000001</v>
      </c>
      <c r="S11" s="14">
        <f>J11/1000</f>
        <v>8.7309000000000001</v>
      </c>
      <c r="T11" s="14">
        <f>K11/1000</f>
        <v>3.5996599999999996</v>
      </c>
      <c r="U11" s="14">
        <f>L11/1000</f>
        <v>12.074999999999999</v>
      </c>
      <c r="V11" s="14">
        <f>M11/1000</f>
        <v>4.2985200000000008</v>
      </c>
      <c r="W11" s="14">
        <f>N11/1000</f>
        <v>7.7963999999999993</v>
      </c>
      <c r="X11" s="14">
        <f>O11/1000</f>
        <v>0.35</v>
      </c>
    </row>
    <row r="12" spans="1:24" x14ac:dyDescent="0.25">
      <c r="A12" s="11" t="s">
        <v>27</v>
      </c>
      <c r="B12" s="11" t="s">
        <v>25</v>
      </c>
      <c r="C12" s="11">
        <v>47</v>
      </c>
      <c r="D12" s="6">
        <v>2712.83</v>
      </c>
      <c r="E12" s="8">
        <v>5230.67</v>
      </c>
      <c r="F12" s="12">
        <v>25325</v>
      </c>
      <c r="G12" s="13">
        <v>9258.3700000000008</v>
      </c>
      <c r="H12" s="13">
        <v>3775.02</v>
      </c>
      <c r="I12" s="13">
        <v>300</v>
      </c>
      <c r="J12" s="8">
        <v>2712.83</v>
      </c>
      <c r="K12" s="8">
        <v>5230.67</v>
      </c>
      <c r="L12" s="12">
        <v>25325</v>
      </c>
      <c r="M12" s="13">
        <v>9258.3700000000008</v>
      </c>
      <c r="N12" s="13">
        <v>3775.02</v>
      </c>
      <c r="O12" s="13">
        <v>300</v>
      </c>
      <c r="P12" s="8">
        <v>7.6399999999999996E-2</v>
      </c>
      <c r="Q12" s="8">
        <v>1.3725000000000001</v>
      </c>
      <c r="R12" s="8">
        <v>0.1128</v>
      </c>
      <c r="S12" s="14">
        <f t="shared" ref="S12:X12" si="6">J12/1000</f>
        <v>2.7128299999999999</v>
      </c>
      <c r="T12" s="14">
        <f t="shared" si="6"/>
        <v>5.2306699999999999</v>
      </c>
      <c r="U12" s="14">
        <f t="shared" si="6"/>
        <v>25.324999999999999</v>
      </c>
      <c r="V12" s="14">
        <f t="shared" si="6"/>
        <v>9.2583700000000011</v>
      </c>
      <c r="W12" s="14">
        <f t="shared" si="6"/>
        <v>3.77502</v>
      </c>
      <c r="X12" s="14">
        <f t="shared" si="6"/>
        <v>0.3</v>
      </c>
    </row>
    <row r="13" spans="1:24" x14ac:dyDescent="0.25">
      <c r="A13" s="11" t="s">
        <v>27</v>
      </c>
      <c r="B13" s="11" t="s">
        <v>25</v>
      </c>
      <c r="C13" s="11">
        <v>48</v>
      </c>
      <c r="D13" s="6">
        <v>2955.17</v>
      </c>
      <c r="E13" s="8">
        <v>5982.45</v>
      </c>
      <c r="F13" s="12">
        <v>25475</v>
      </c>
      <c r="G13" s="13">
        <v>9258.3700000000008</v>
      </c>
      <c r="H13" s="13">
        <v>3775.02</v>
      </c>
      <c r="I13" s="13">
        <v>300</v>
      </c>
      <c r="J13" s="8">
        <v>2955.17</v>
      </c>
      <c r="K13" s="8">
        <v>5982.45</v>
      </c>
      <c r="L13" s="12">
        <v>25475</v>
      </c>
      <c r="M13" s="13">
        <v>9258.3700000000008</v>
      </c>
      <c r="N13" s="13">
        <v>3775.02</v>
      </c>
      <c r="O13" s="13">
        <v>300</v>
      </c>
      <c r="P13" s="8">
        <v>5.79E-2</v>
      </c>
      <c r="Q13" s="8">
        <v>2.1103000000000001</v>
      </c>
      <c r="R13" s="8">
        <v>0.15359999999999999</v>
      </c>
      <c r="S13" s="14">
        <f t="shared" ref="S13:S21" si="7">J13/1000</f>
        <v>2.9551699999999999</v>
      </c>
      <c r="T13" s="14">
        <f t="shared" ref="T13:T21" si="8">K13/1000</f>
        <v>5.98245</v>
      </c>
      <c r="U13" s="14">
        <f t="shared" ref="U13:U21" si="9">L13/1000</f>
        <v>25.475000000000001</v>
      </c>
      <c r="V13" s="14">
        <f t="shared" ref="V13:V21" si="10">M13/1000</f>
        <v>9.2583700000000011</v>
      </c>
      <c r="W13" s="14">
        <f t="shared" ref="W13:W21" si="11">N13/1000</f>
        <v>3.77502</v>
      </c>
      <c r="X13" s="14">
        <f t="shared" ref="X13:X21" si="12">O13/1000</f>
        <v>0.3</v>
      </c>
    </row>
    <row r="14" spans="1:24" x14ac:dyDescent="0.25">
      <c r="A14" s="11" t="s">
        <v>27</v>
      </c>
      <c r="B14" s="11" t="s">
        <v>25</v>
      </c>
      <c r="C14" s="11">
        <v>49</v>
      </c>
      <c r="D14" s="6">
        <v>3101.24</v>
      </c>
      <c r="E14" s="8">
        <v>6211.89</v>
      </c>
      <c r="F14" s="12">
        <v>25525</v>
      </c>
      <c r="G14" s="13">
        <v>9258.3700000000008</v>
      </c>
      <c r="H14" s="13">
        <v>3775.02</v>
      </c>
      <c r="I14" s="13">
        <v>300</v>
      </c>
      <c r="J14" s="8">
        <v>3101.24</v>
      </c>
      <c r="K14" s="8">
        <v>6211.89</v>
      </c>
      <c r="L14" s="12">
        <v>25525</v>
      </c>
      <c r="M14" s="13">
        <v>9258.3700000000008</v>
      </c>
      <c r="N14" s="13">
        <v>3775.02</v>
      </c>
      <c r="O14" s="13">
        <v>300</v>
      </c>
      <c r="P14" s="8">
        <v>9.3200000000000005E-2</v>
      </c>
      <c r="Q14" s="8">
        <v>1.7886</v>
      </c>
      <c r="R14" s="8">
        <v>0.12470000000000001</v>
      </c>
      <c r="S14" s="14">
        <f t="shared" si="7"/>
        <v>3.1012399999999998</v>
      </c>
      <c r="T14" s="14">
        <f t="shared" si="8"/>
        <v>6.2118900000000004</v>
      </c>
      <c r="U14" s="14">
        <f t="shared" si="9"/>
        <v>25.524999999999999</v>
      </c>
      <c r="V14" s="14">
        <f t="shared" si="10"/>
        <v>9.2583700000000011</v>
      </c>
      <c r="W14" s="14">
        <f t="shared" si="11"/>
        <v>3.77502</v>
      </c>
      <c r="X14" s="14">
        <f t="shared" si="12"/>
        <v>0.3</v>
      </c>
    </row>
    <row r="15" spans="1:24" x14ac:dyDescent="0.25">
      <c r="A15" s="11" t="s">
        <v>27</v>
      </c>
      <c r="B15" s="11" t="s">
        <v>25</v>
      </c>
      <c r="C15" s="11">
        <v>50</v>
      </c>
      <c r="D15" s="6">
        <v>2589.4499999999998</v>
      </c>
      <c r="E15" s="8">
        <v>5367.21</v>
      </c>
      <c r="F15" s="12">
        <v>26400</v>
      </c>
      <c r="G15" s="13">
        <v>9258.3700000000008</v>
      </c>
      <c r="H15" s="13">
        <v>3775.02</v>
      </c>
      <c r="I15" s="13">
        <v>300</v>
      </c>
      <c r="J15" s="8">
        <v>2589.4499999999998</v>
      </c>
      <c r="K15" s="8">
        <v>5367.21</v>
      </c>
      <c r="L15" s="12">
        <v>26400</v>
      </c>
      <c r="M15" s="13">
        <v>9258.3700000000008</v>
      </c>
      <c r="N15" s="13">
        <v>3775.02</v>
      </c>
      <c r="O15" s="13">
        <v>300</v>
      </c>
      <c r="P15" s="8">
        <v>3.85E-2</v>
      </c>
      <c r="Q15" s="8">
        <v>1.0259</v>
      </c>
      <c r="R15" s="8">
        <v>6.8900000000000003E-2</v>
      </c>
      <c r="S15" s="14">
        <f t="shared" si="7"/>
        <v>2.5894499999999998</v>
      </c>
      <c r="T15" s="14">
        <f t="shared" si="8"/>
        <v>5.36721</v>
      </c>
      <c r="U15" s="14">
        <f t="shared" si="9"/>
        <v>26.4</v>
      </c>
      <c r="V15" s="14">
        <f t="shared" si="10"/>
        <v>9.2583700000000011</v>
      </c>
      <c r="W15" s="14">
        <f t="shared" si="11"/>
        <v>3.77502</v>
      </c>
      <c r="X15" s="14">
        <f t="shared" si="12"/>
        <v>0.3</v>
      </c>
    </row>
    <row r="16" spans="1:24" x14ac:dyDescent="0.25">
      <c r="A16" s="11" t="s">
        <v>27</v>
      </c>
      <c r="B16" s="11" t="s">
        <v>26</v>
      </c>
      <c r="C16" s="11">
        <v>5</v>
      </c>
      <c r="D16" s="6">
        <v>3333.67</v>
      </c>
      <c r="E16" s="8">
        <v>6310.55</v>
      </c>
      <c r="F16" s="12">
        <v>27225</v>
      </c>
      <c r="G16" s="13">
        <v>9258.3700000000008</v>
      </c>
      <c r="H16" s="13">
        <v>3775.02</v>
      </c>
      <c r="I16" s="13">
        <v>300</v>
      </c>
      <c r="J16" s="8">
        <v>3333.67</v>
      </c>
      <c r="K16" s="8">
        <v>6310.55</v>
      </c>
      <c r="L16" s="12">
        <v>27225</v>
      </c>
      <c r="M16" s="13">
        <v>9258.3700000000008</v>
      </c>
      <c r="N16" s="13">
        <v>3775.02</v>
      </c>
      <c r="O16" s="13">
        <v>300</v>
      </c>
      <c r="P16" s="8">
        <v>8.4699999999999998E-2</v>
      </c>
      <c r="Q16" s="8">
        <v>2.5320999999999998</v>
      </c>
      <c r="R16" s="8">
        <v>0.19850000000000001</v>
      </c>
      <c r="S16" s="14">
        <f t="shared" si="7"/>
        <v>3.3336700000000001</v>
      </c>
      <c r="T16" s="14">
        <f t="shared" si="8"/>
        <v>6.3105500000000001</v>
      </c>
      <c r="U16" s="14">
        <f t="shared" si="9"/>
        <v>27.225000000000001</v>
      </c>
      <c r="V16" s="14">
        <f t="shared" si="10"/>
        <v>9.2583700000000011</v>
      </c>
      <c r="W16" s="14">
        <f t="shared" si="11"/>
        <v>3.77502</v>
      </c>
      <c r="X16" s="14">
        <f t="shared" si="12"/>
        <v>0.3</v>
      </c>
    </row>
    <row r="17" spans="1:24" x14ac:dyDescent="0.25">
      <c r="A17" s="11" t="s">
        <v>27</v>
      </c>
      <c r="B17" s="11" t="s">
        <v>26</v>
      </c>
      <c r="C17" s="11">
        <v>6</v>
      </c>
      <c r="D17" s="6">
        <v>2784.13</v>
      </c>
      <c r="E17" s="8">
        <v>5512.36</v>
      </c>
      <c r="F17" s="12">
        <v>27250</v>
      </c>
      <c r="G17" s="13">
        <v>9258.3700000000008</v>
      </c>
      <c r="H17" s="13">
        <v>3775.02</v>
      </c>
      <c r="I17" s="13">
        <v>300</v>
      </c>
      <c r="J17" s="8">
        <v>2784.13</v>
      </c>
      <c r="K17" s="8">
        <v>5512.36</v>
      </c>
      <c r="L17" s="12">
        <v>27250</v>
      </c>
      <c r="M17" s="13">
        <v>9258.3700000000008</v>
      </c>
      <c r="N17" s="13">
        <v>3775.02</v>
      </c>
      <c r="O17" s="13">
        <v>300</v>
      </c>
      <c r="P17" s="8">
        <v>7.1099999999999997E-2</v>
      </c>
      <c r="Q17" s="8">
        <v>1.1894</v>
      </c>
      <c r="R17" s="8">
        <v>7.3200000000000001E-2</v>
      </c>
      <c r="S17" s="14">
        <f t="shared" si="7"/>
        <v>2.7841300000000002</v>
      </c>
      <c r="T17" s="14">
        <f t="shared" si="8"/>
        <v>5.5123599999999993</v>
      </c>
      <c r="U17" s="14">
        <f t="shared" si="9"/>
        <v>27.25</v>
      </c>
      <c r="V17" s="14">
        <f t="shared" si="10"/>
        <v>9.2583700000000011</v>
      </c>
      <c r="W17" s="14">
        <f t="shared" si="11"/>
        <v>3.77502</v>
      </c>
      <c r="X17" s="14">
        <f t="shared" si="12"/>
        <v>0.3</v>
      </c>
    </row>
    <row r="18" spans="1:24" x14ac:dyDescent="0.25">
      <c r="A18" s="11" t="s">
        <v>27</v>
      </c>
      <c r="B18" s="11" t="s">
        <v>25</v>
      </c>
      <c r="C18" s="11">
        <v>51</v>
      </c>
      <c r="D18" s="6">
        <v>3012.96</v>
      </c>
      <c r="E18" s="8">
        <v>6099.42</v>
      </c>
      <c r="F18" s="12">
        <v>27625</v>
      </c>
      <c r="G18" s="13">
        <v>9258.3700000000008</v>
      </c>
      <c r="H18" s="13">
        <v>3775.02</v>
      </c>
      <c r="I18" s="13">
        <v>300</v>
      </c>
      <c r="J18" s="8">
        <v>3012.96</v>
      </c>
      <c r="K18" s="8">
        <v>6099.42</v>
      </c>
      <c r="L18" s="12">
        <v>27625</v>
      </c>
      <c r="M18" s="13">
        <v>9258.3700000000008</v>
      </c>
      <c r="N18" s="13">
        <v>3775.02</v>
      </c>
      <c r="O18" s="13">
        <v>300</v>
      </c>
      <c r="P18" s="8">
        <v>6.3500000000000001E-2</v>
      </c>
      <c r="Q18" s="8">
        <v>0.96099999999999997</v>
      </c>
      <c r="R18" s="8">
        <v>5.9700000000000003E-2</v>
      </c>
      <c r="S18" s="14">
        <f t="shared" si="7"/>
        <v>3.0129600000000001</v>
      </c>
      <c r="T18" s="14">
        <f t="shared" si="8"/>
        <v>6.0994200000000003</v>
      </c>
      <c r="U18" s="14">
        <f t="shared" si="9"/>
        <v>27.625</v>
      </c>
      <c r="V18" s="14">
        <f t="shared" si="10"/>
        <v>9.2583700000000011</v>
      </c>
      <c r="W18" s="14">
        <f t="shared" si="11"/>
        <v>3.77502</v>
      </c>
      <c r="X18" s="14">
        <f t="shared" si="12"/>
        <v>0.3</v>
      </c>
    </row>
    <row r="19" spans="1:24" x14ac:dyDescent="0.25">
      <c r="A19" s="11" t="s">
        <v>27</v>
      </c>
      <c r="B19" s="11" t="s">
        <v>25</v>
      </c>
      <c r="C19" s="11">
        <v>52</v>
      </c>
      <c r="D19" s="6">
        <v>2840.75</v>
      </c>
      <c r="E19" s="8">
        <v>5723.18</v>
      </c>
      <c r="F19" s="12">
        <v>27650</v>
      </c>
      <c r="G19" s="13">
        <v>9258.3700000000008</v>
      </c>
      <c r="H19" s="13">
        <v>3775.02</v>
      </c>
      <c r="I19" s="13">
        <v>300</v>
      </c>
      <c r="J19" s="8">
        <v>2840.75</v>
      </c>
      <c r="K19" s="8">
        <v>5723.18</v>
      </c>
      <c r="L19" s="12">
        <v>27650</v>
      </c>
      <c r="M19" s="13">
        <v>9258.3700000000008</v>
      </c>
      <c r="N19" s="13">
        <v>3775.02</v>
      </c>
      <c r="O19" s="13">
        <v>300</v>
      </c>
      <c r="P19" s="8">
        <v>9.7999999999999997E-3</v>
      </c>
      <c r="Q19" s="8">
        <v>2.3774999999999999</v>
      </c>
      <c r="R19" s="8">
        <v>0.1792</v>
      </c>
      <c r="S19" s="14">
        <f t="shared" si="7"/>
        <v>2.8407499999999999</v>
      </c>
      <c r="T19" s="14">
        <f t="shared" si="8"/>
        <v>5.7231800000000002</v>
      </c>
      <c r="U19" s="14">
        <f t="shared" si="9"/>
        <v>27.65</v>
      </c>
      <c r="V19" s="14">
        <f t="shared" si="10"/>
        <v>9.2583700000000011</v>
      </c>
      <c r="W19" s="14">
        <f t="shared" si="11"/>
        <v>3.77502</v>
      </c>
      <c r="X19" s="14">
        <f t="shared" si="12"/>
        <v>0.3</v>
      </c>
    </row>
    <row r="20" spans="1:24" x14ac:dyDescent="0.25">
      <c r="A20" s="11" t="s">
        <v>27</v>
      </c>
      <c r="B20" s="11" t="s">
        <v>26</v>
      </c>
      <c r="C20" s="11">
        <v>7</v>
      </c>
      <c r="D20" s="6">
        <v>2639.58</v>
      </c>
      <c r="E20" s="8">
        <v>5108.76</v>
      </c>
      <c r="F20" s="12">
        <v>28925</v>
      </c>
      <c r="G20" s="13">
        <v>9258.3700000000008</v>
      </c>
      <c r="H20" s="13">
        <v>3775.02</v>
      </c>
      <c r="I20" s="13">
        <v>300</v>
      </c>
      <c r="J20" s="8">
        <v>2639.58</v>
      </c>
      <c r="K20" s="8">
        <v>5108.76</v>
      </c>
      <c r="L20" s="12">
        <v>28925</v>
      </c>
      <c r="M20" s="13">
        <v>9258.3700000000008</v>
      </c>
      <c r="N20" s="13">
        <v>3775.02</v>
      </c>
      <c r="O20" s="13">
        <v>300</v>
      </c>
      <c r="P20" s="8">
        <v>4.6199999999999998E-2</v>
      </c>
      <c r="Q20" s="8">
        <v>1.4398</v>
      </c>
      <c r="R20" s="8">
        <v>8.9399999999999993E-2</v>
      </c>
      <c r="S20" s="14">
        <f t="shared" si="7"/>
        <v>2.63958</v>
      </c>
      <c r="T20" s="14">
        <f t="shared" si="8"/>
        <v>5.1087600000000002</v>
      </c>
      <c r="U20" s="14">
        <f t="shared" si="9"/>
        <v>28.925000000000001</v>
      </c>
      <c r="V20" s="14">
        <f t="shared" si="10"/>
        <v>9.2583700000000011</v>
      </c>
      <c r="W20" s="14">
        <f t="shared" si="11"/>
        <v>3.77502</v>
      </c>
      <c r="X20" s="14">
        <f t="shared" si="12"/>
        <v>0.3</v>
      </c>
    </row>
    <row r="21" spans="1:24" x14ac:dyDescent="0.25">
      <c r="A21" s="11" t="s">
        <v>27</v>
      </c>
      <c r="B21" s="11" t="s">
        <v>25</v>
      </c>
      <c r="C21" s="11">
        <v>53</v>
      </c>
      <c r="D21" s="6">
        <v>3190.32</v>
      </c>
      <c r="E21" s="8">
        <v>6370.04</v>
      </c>
      <c r="F21" s="12">
        <v>29575</v>
      </c>
      <c r="G21" s="13">
        <v>9258.3700000000008</v>
      </c>
      <c r="H21" s="13">
        <v>3775.02</v>
      </c>
      <c r="I21" s="13">
        <v>300</v>
      </c>
      <c r="J21" s="8">
        <v>3190.32</v>
      </c>
      <c r="K21" s="8">
        <v>6370.04</v>
      </c>
      <c r="L21" s="12">
        <v>29575</v>
      </c>
      <c r="M21" s="13">
        <v>9258.3700000000008</v>
      </c>
      <c r="N21" s="13">
        <v>3775.02</v>
      </c>
      <c r="O21" s="13">
        <v>300</v>
      </c>
      <c r="P21" s="8">
        <v>9.7500000000000003E-2</v>
      </c>
      <c r="Q21" s="8">
        <v>1.5980000000000001</v>
      </c>
      <c r="R21" s="8">
        <v>0.14230000000000001</v>
      </c>
      <c r="S21" s="14">
        <f t="shared" si="7"/>
        <v>3.1903200000000003</v>
      </c>
      <c r="T21" s="14">
        <f t="shared" si="8"/>
        <v>6.3700400000000004</v>
      </c>
      <c r="U21" s="14">
        <f t="shared" si="9"/>
        <v>29.574999999999999</v>
      </c>
      <c r="V21" s="14">
        <f t="shared" si="10"/>
        <v>9.2583700000000011</v>
      </c>
      <c r="W21" s="14">
        <f t="shared" si="11"/>
        <v>3.77502</v>
      </c>
      <c r="X21" s="14">
        <f t="shared" si="12"/>
        <v>0.3</v>
      </c>
    </row>
    <row r="22" spans="1:24" x14ac:dyDescent="0.25">
      <c r="A22" s="11" t="s">
        <v>28</v>
      </c>
      <c r="B22" s="11" t="s">
        <v>25</v>
      </c>
      <c r="C22" s="11">
        <v>50</v>
      </c>
      <c r="D22" s="7">
        <v>5173.41</v>
      </c>
      <c r="E22" s="10">
        <v>4712.38</v>
      </c>
      <c r="F22" s="12">
        <v>13675</v>
      </c>
      <c r="G22" s="13">
        <v>7926.67</v>
      </c>
      <c r="H22" s="13">
        <v>3112.33</v>
      </c>
      <c r="I22" s="13">
        <v>950</v>
      </c>
      <c r="J22" s="10">
        <v>5173.41</v>
      </c>
      <c r="K22" s="10">
        <v>4712.38</v>
      </c>
      <c r="L22" s="12">
        <v>13675</v>
      </c>
      <c r="M22" s="13">
        <v>7926.67</v>
      </c>
      <c r="N22" s="13">
        <v>3112.33</v>
      </c>
      <c r="O22" s="13">
        <v>950</v>
      </c>
      <c r="P22" s="10">
        <v>6.7900000000000002E-2</v>
      </c>
      <c r="Q22" s="10">
        <v>1.9982</v>
      </c>
      <c r="R22" s="10">
        <v>0.21729999999999999</v>
      </c>
      <c r="S22" s="14">
        <f t="shared" ref="S22:X22" si="13">J22/1000</f>
        <v>5.1734099999999996</v>
      </c>
      <c r="T22" s="14">
        <f t="shared" si="13"/>
        <v>4.7123800000000005</v>
      </c>
      <c r="U22" s="14">
        <f t="shared" si="13"/>
        <v>13.675000000000001</v>
      </c>
      <c r="V22" s="14">
        <f t="shared" si="13"/>
        <v>7.9266699999999997</v>
      </c>
      <c r="W22" s="14">
        <f t="shared" si="13"/>
        <v>3.11233</v>
      </c>
      <c r="X22" s="14">
        <f t="shared" si="13"/>
        <v>0.95</v>
      </c>
    </row>
    <row r="23" spans="1:24" x14ac:dyDescent="0.25">
      <c r="A23" s="11" t="s">
        <v>28</v>
      </c>
      <c r="B23" s="11" t="s">
        <v>25</v>
      </c>
      <c r="C23" s="11">
        <v>51</v>
      </c>
      <c r="D23" s="7">
        <v>5340.22</v>
      </c>
      <c r="E23" s="10">
        <v>5145.97</v>
      </c>
      <c r="F23" s="12">
        <v>13700</v>
      </c>
      <c r="G23" s="13">
        <v>7926.67</v>
      </c>
      <c r="H23" s="13">
        <v>3112.33</v>
      </c>
      <c r="I23" s="13">
        <v>950</v>
      </c>
      <c r="J23" s="10">
        <v>5340.22</v>
      </c>
      <c r="K23" s="10">
        <v>5145.97</v>
      </c>
      <c r="L23" s="12">
        <v>13700</v>
      </c>
      <c r="M23" s="13">
        <v>7926.67</v>
      </c>
      <c r="N23" s="13">
        <v>3112.33</v>
      </c>
      <c r="O23" s="13">
        <v>950</v>
      </c>
      <c r="P23" s="10">
        <v>4.5600000000000002E-2</v>
      </c>
      <c r="Q23" s="10">
        <v>3.2233999999999998</v>
      </c>
      <c r="R23" s="10">
        <v>0.31879999999999997</v>
      </c>
      <c r="S23" s="14">
        <f t="shared" ref="S23:S31" si="14">J23/1000</f>
        <v>5.3402200000000004</v>
      </c>
      <c r="T23" s="14">
        <f t="shared" ref="T23:T31" si="15">K23/1000</f>
        <v>5.1459700000000002</v>
      </c>
      <c r="U23" s="14">
        <f t="shared" ref="U23:U31" si="16">L23/1000</f>
        <v>13.7</v>
      </c>
      <c r="V23" s="14">
        <f t="shared" ref="V23:V31" si="17">M23/1000</f>
        <v>7.9266699999999997</v>
      </c>
      <c r="W23" s="14">
        <f t="shared" ref="W23:W31" si="18">N23/1000</f>
        <v>3.11233</v>
      </c>
      <c r="X23" s="14">
        <f t="shared" ref="X23:X31" si="19">O23/1000</f>
        <v>0.95</v>
      </c>
    </row>
    <row r="24" spans="1:24" x14ac:dyDescent="0.25">
      <c r="A24" s="11" t="s">
        <v>28</v>
      </c>
      <c r="B24" s="11" t="s">
        <v>25</v>
      </c>
      <c r="C24" s="11">
        <v>52</v>
      </c>
      <c r="D24" s="7">
        <v>5462.13</v>
      </c>
      <c r="E24" s="10">
        <v>4680.5600000000004</v>
      </c>
      <c r="F24" s="12">
        <v>14500</v>
      </c>
      <c r="G24" s="13">
        <v>7926.67</v>
      </c>
      <c r="H24" s="13">
        <v>3112.33</v>
      </c>
      <c r="I24" s="13">
        <v>950</v>
      </c>
      <c r="J24" s="10">
        <v>5462.13</v>
      </c>
      <c r="K24" s="10">
        <v>4680.5600000000004</v>
      </c>
      <c r="L24" s="12">
        <v>14500</v>
      </c>
      <c r="M24" s="13">
        <v>7926.67</v>
      </c>
      <c r="N24" s="13">
        <v>3112.33</v>
      </c>
      <c r="O24" s="13">
        <v>950</v>
      </c>
      <c r="P24" s="10">
        <v>9.8100000000000007E-2</v>
      </c>
      <c r="Q24" s="10">
        <v>6.4824999999999999</v>
      </c>
      <c r="R24" s="10">
        <v>0.7359</v>
      </c>
      <c r="S24" s="14">
        <f t="shared" si="14"/>
        <v>5.4621300000000002</v>
      </c>
      <c r="T24" s="14">
        <f t="shared" si="15"/>
        <v>4.6805600000000007</v>
      </c>
      <c r="U24" s="14">
        <f t="shared" si="16"/>
        <v>14.5</v>
      </c>
      <c r="V24" s="14">
        <f t="shared" si="17"/>
        <v>7.9266699999999997</v>
      </c>
      <c r="W24" s="14">
        <f t="shared" si="18"/>
        <v>3.11233</v>
      </c>
      <c r="X24" s="14">
        <f t="shared" si="19"/>
        <v>0.95</v>
      </c>
    </row>
    <row r="25" spans="1:24" x14ac:dyDescent="0.25">
      <c r="A25" s="11" t="s">
        <v>28</v>
      </c>
      <c r="B25" s="11" t="s">
        <v>25</v>
      </c>
      <c r="C25" s="11">
        <v>53</v>
      </c>
      <c r="D25" s="7">
        <v>4987.3599999999997</v>
      </c>
      <c r="E25" s="10">
        <v>5234.87</v>
      </c>
      <c r="F25" s="12">
        <v>14725</v>
      </c>
      <c r="G25" s="13">
        <v>7926.67</v>
      </c>
      <c r="H25" s="13">
        <v>3112.33</v>
      </c>
      <c r="I25" s="13">
        <v>950</v>
      </c>
      <c r="J25" s="10">
        <v>4987.3599999999997</v>
      </c>
      <c r="K25" s="10">
        <v>5234.87</v>
      </c>
      <c r="L25" s="12">
        <v>14725</v>
      </c>
      <c r="M25" s="13">
        <v>7926.67</v>
      </c>
      <c r="N25" s="13">
        <v>3112.33</v>
      </c>
      <c r="O25" s="13">
        <v>950</v>
      </c>
      <c r="P25" s="10">
        <v>2.9700000000000001E-2</v>
      </c>
      <c r="Q25" s="10">
        <v>0.76229999999999998</v>
      </c>
      <c r="R25" s="10">
        <v>7.1099999999999997E-2</v>
      </c>
      <c r="S25" s="14">
        <f t="shared" si="14"/>
        <v>4.9873599999999998</v>
      </c>
      <c r="T25" s="14">
        <f t="shared" si="15"/>
        <v>5.2348699999999999</v>
      </c>
      <c r="U25" s="14">
        <f t="shared" si="16"/>
        <v>14.725</v>
      </c>
      <c r="V25" s="14">
        <f t="shared" si="17"/>
        <v>7.9266699999999997</v>
      </c>
      <c r="W25" s="14">
        <f t="shared" si="18"/>
        <v>3.11233</v>
      </c>
      <c r="X25" s="14">
        <f t="shared" si="19"/>
        <v>0.95</v>
      </c>
    </row>
    <row r="26" spans="1:24" x14ac:dyDescent="0.25">
      <c r="A26" s="11" t="s">
        <v>28</v>
      </c>
      <c r="B26" s="11" t="s">
        <v>25</v>
      </c>
      <c r="C26" s="11">
        <v>54</v>
      </c>
      <c r="D26" s="7">
        <v>5531.89</v>
      </c>
      <c r="E26" s="10">
        <v>4591.2299999999996</v>
      </c>
      <c r="F26" s="12">
        <v>15625</v>
      </c>
      <c r="G26" s="13">
        <v>7926.67</v>
      </c>
      <c r="H26" s="13">
        <v>3112.33</v>
      </c>
      <c r="I26" s="13">
        <v>950</v>
      </c>
      <c r="J26" s="10">
        <v>5531.89</v>
      </c>
      <c r="K26" s="10">
        <v>4591.2299999999996</v>
      </c>
      <c r="L26" s="12">
        <v>15625</v>
      </c>
      <c r="M26" s="13">
        <v>7926.67</v>
      </c>
      <c r="N26" s="13">
        <v>3112.33</v>
      </c>
      <c r="O26" s="13">
        <v>950</v>
      </c>
      <c r="P26" s="10">
        <v>8.2500000000000004E-2</v>
      </c>
      <c r="Q26" s="10">
        <v>5.0145999999999997</v>
      </c>
      <c r="R26" s="10">
        <v>0.42359999999999998</v>
      </c>
      <c r="S26" s="14">
        <f t="shared" si="14"/>
        <v>5.5318900000000006</v>
      </c>
      <c r="T26" s="14">
        <f t="shared" si="15"/>
        <v>4.5912299999999995</v>
      </c>
      <c r="U26" s="14">
        <f t="shared" si="16"/>
        <v>15.625</v>
      </c>
      <c r="V26" s="14">
        <f t="shared" si="17"/>
        <v>7.9266699999999997</v>
      </c>
      <c r="W26" s="14">
        <f t="shared" si="18"/>
        <v>3.11233</v>
      </c>
      <c r="X26" s="14">
        <f t="shared" si="19"/>
        <v>0.95</v>
      </c>
    </row>
    <row r="27" spans="1:24" x14ac:dyDescent="0.25">
      <c r="A27" s="11" t="s">
        <v>28</v>
      </c>
      <c r="B27" s="11" t="s">
        <v>26</v>
      </c>
      <c r="C27" s="11">
        <v>22</v>
      </c>
      <c r="D27" s="7">
        <v>5246.78</v>
      </c>
      <c r="E27" s="10">
        <v>4972.55</v>
      </c>
      <c r="F27" s="12">
        <v>16000</v>
      </c>
      <c r="G27" s="13">
        <v>7926.67</v>
      </c>
      <c r="H27" s="13">
        <v>3112.33</v>
      </c>
      <c r="I27" s="13">
        <v>950</v>
      </c>
      <c r="J27" s="10">
        <v>5246.78</v>
      </c>
      <c r="K27" s="10">
        <v>4972.55</v>
      </c>
      <c r="L27" s="12">
        <v>16000</v>
      </c>
      <c r="M27" s="13">
        <v>7926.67</v>
      </c>
      <c r="N27" s="13">
        <v>3112.33</v>
      </c>
      <c r="O27" s="13">
        <v>950</v>
      </c>
      <c r="P27" s="10">
        <v>6.1400000000000003E-2</v>
      </c>
      <c r="Q27" s="10">
        <v>1.4567000000000001</v>
      </c>
      <c r="R27" s="10">
        <v>0.1024</v>
      </c>
      <c r="S27" s="14">
        <f t="shared" si="14"/>
        <v>5.2467799999999993</v>
      </c>
      <c r="T27" s="14">
        <f t="shared" si="15"/>
        <v>4.97255</v>
      </c>
      <c r="U27" s="14">
        <f t="shared" si="16"/>
        <v>16</v>
      </c>
      <c r="V27" s="14">
        <f t="shared" si="17"/>
        <v>7.9266699999999997</v>
      </c>
      <c r="W27" s="14">
        <f t="shared" si="18"/>
        <v>3.11233</v>
      </c>
      <c r="X27" s="14">
        <f t="shared" si="19"/>
        <v>0.95</v>
      </c>
    </row>
    <row r="28" spans="1:24" x14ac:dyDescent="0.25">
      <c r="A28" s="11" t="s">
        <v>28</v>
      </c>
      <c r="B28" s="11" t="s">
        <v>25</v>
      </c>
      <c r="C28" s="11">
        <v>55</v>
      </c>
      <c r="D28" s="7">
        <v>5077.6000000000004</v>
      </c>
      <c r="E28" s="10">
        <v>4663.1899999999996</v>
      </c>
      <c r="F28" s="12">
        <v>16475</v>
      </c>
      <c r="G28" s="13">
        <v>7926.67</v>
      </c>
      <c r="H28" s="13">
        <v>3112.33</v>
      </c>
      <c r="I28" s="13">
        <v>950</v>
      </c>
      <c r="J28" s="10">
        <v>5077.6000000000004</v>
      </c>
      <c r="K28" s="10">
        <v>4663.1899999999996</v>
      </c>
      <c r="L28" s="12">
        <v>16475</v>
      </c>
      <c r="M28" s="13">
        <v>7926.67</v>
      </c>
      <c r="N28" s="13">
        <v>3112.33</v>
      </c>
      <c r="O28" s="13">
        <v>950</v>
      </c>
      <c r="P28" s="10">
        <v>7.4300000000000005E-2</v>
      </c>
      <c r="Q28" s="10">
        <v>2.8340999999999998</v>
      </c>
      <c r="R28" s="10">
        <v>0.28649999999999998</v>
      </c>
      <c r="S28" s="14">
        <f t="shared" si="14"/>
        <v>5.0776000000000003</v>
      </c>
      <c r="T28" s="14">
        <f t="shared" si="15"/>
        <v>4.6631899999999993</v>
      </c>
      <c r="U28" s="14">
        <f t="shared" si="16"/>
        <v>16.475000000000001</v>
      </c>
      <c r="V28" s="14">
        <f t="shared" si="17"/>
        <v>7.9266699999999997</v>
      </c>
      <c r="W28" s="14">
        <f t="shared" si="18"/>
        <v>3.11233</v>
      </c>
      <c r="X28" s="14">
        <f t="shared" si="19"/>
        <v>0.95</v>
      </c>
    </row>
    <row r="29" spans="1:24" x14ac:dyDescent="0.25">
      <c r="A29" s="11" t="s">
        <v>28</v>
      </c>
      <c r="B29" s="11" t="s">
        <v>26</v>
      </c>
      <c r="C29" s="11">
        <v>23</v>
      </c>
      <c r="D29" s="7">
        <v>4959.08</v>
      </c>
      <c r="E29" s="10">
        <v>5078.6400000000003</v>
      </c>
      <c r="F29" s="12">
        <v>16525</v>
      </c>
      <c r="G29" s="13">
        <v>7926.67</v>
      </c>
      <c r="H29" s="13">
        <v>3112.33</v>
      </c>
      <c r="I29" s="13">
        <v>950</v>
      </c>
      <c r="J29" s="10">
        <v>4959.08</v>
      </c>
      <c r="K29" s="10">
        <v>5078.6400000000003</v>
      </c>
      <c r="L29" s="12">
        <v>16525</v>
      </c>
      <c r="M29" s="13">
        <v>7926.67</v>
      </c>
      <c r="N29" s="13">
        <v>3112.33</v>
      </c>
      <c r="O29" s="13">
        <v>950</v>
      </c>
      <c r="P29" s="10">
        <v>3.9800000000000002E-2</v>
      </c>
      <c r="Q29" s="10">
        <v>1.1372</v>
      </c>
      <c r="R29" s="10">
        <v>6.3200000000000006E-2</v>
      </c>
      <c r="S29" s="14">
        <f t="shared" si="14"/>
        <v>4.9590800000000002</v>
      </c>
      <c r="T29" s="14">
        <f t="shared" si="15"/>
        <v>5.07864</v>
      </c>
      <c r="U29" s="14">
        <f t="shared" si="16"/>
        <v>16.524999999999999</v>
      </c>
      <c r="V29" s="14">
        <f t="shared" si="17"/>
        <v>7.9266699999999997</v>
      </c>
      <c r="W29" s="14">
        <f t="shared" si="18"/>
        <v>3.11233</v>
      </c>
      <c r="X29" s="14">
        <f t="shared" si="19"/>
        <v>0.95</v>
      </c>
    </row>
    <row r="30" spans="1:24" x14ac:dyDescent="0.25">
      <c r="A30" s="11" t="s">
        <v>28</v>
      </c>
      <c r="B30" s="11" t="s">
        <v>25</v>
      </c>
      <c r="C30" s="11">
        <v>56</v>
      </c>
      <c r="D30" s="7">
        <v>5634.71</v>
      </c>
      <c r="E30" s="10">
        <v>4750.42</v>
      </c>
      <c r="F30" s="12">
        <v>16575</v>
      </c>
      <c r="G30" s="13">
        <v>7926.67</v>
      </c>
      <c r="H30" s="13">
        <v>3112.33</v>
      </c>
      <c r="I30" s="13">
        <v>950</v>
      </c>
      <c r="J30" s="10">
        <v>5634.71</v>
      </c>
      <c r="K30" s="10">
        <v>4750.42</v>
      </c>
      <c r="L30" s="12">
        <v>16575</v>
      </c>
      <c r="M30" s="13">
        <v>7926.67</v>
      </c>
      <c r="N30" s="13">
        <v>3112.33</v>
      </c>
      <c r="O30" s="13">
        <v>950</v>
      </c>
      <c r="P30" s="10">
        <v>5.6099999999999997E-2</v>
      </c>
      <c r="Q30" s="10">
        <v>4.9237000000000002</v>
      </c>
      <c r="R30" s="10">
        <v>0.3977</v>
      </c>
      <c r="S30" s="14">
        <f t="shared" si="14"/>
        <v>5.6347100000000001</v>
      </c>
      <c r="T30" s="14">
        <f t="shared" si="15"/>
        <v>4.7504200000000001</v>
      </c>
      <c r="U30" s="14">
        <f t="shared" si="16"/>
        <v>16.574999999999999</v>
      </c>
      <c r="V30" s="14">
        <f t="shared" si="17"/>
        <v>7.9266699999999997</v>
      </c>
      <c r="W30" s="14">
        <f t="shared" si="18"/>
        <v>3.11233</v>
      </c>
      <c r="X30" s="14">
        <f t="shared" si="19"/>
        <v>0.95</v>
      </c>
    </row>
    <row r="31" spans="1:24" x14ac:dyDescent="0.25">
      <c r="A31" s="5" t="s">
        <v>28</v>
      </c>
      <c r="B31" s="5" t="s">
        <v>26</v>
      </c>
      <c r="C31" s="5">
        <v>24</v>
      </c>
      <c r="D31" s="7">
        <v>5023.45</v>
      </c>
      <c r="E31" s="10">
        <v>4890.18</v>
      </c>
      <c r="F31" s="8">
        <v>17225</v>
      </c>
      <c r="G31" s="2">
        <v>7926.67</v>
      </c>
      <c r="H31" s="2">
        <v>3112.33</v>
      </c>
      <c r="I31" s="2">
        <v>950</v>
      </c>
      <c r="J31" s="10">
        <v>5023.45</v>
      </c>
      <c r="K31" s="10">
        <v>4890.18</v>
      </c>
      <c r="L31" s="8">
        <v>17225</v>
      </c>
      <c r="M31" s="2">
        <v>7926.67</v>
      </c>
      <c r="N31" s="2">
        <v>3112.33</v>
      </c>
      <c r="O31" s="2">
        <v>950</v>
      </c>
      <c r="P31" s="10">
        <v>9.1200000000000003E-2</v>
      </c>
      <c r="Q31" s="10">
        <v>6.9214000000000002</v>
      </c>
      <c r="R31" s="10">
        <v>0.80130000000000001</v>
      </c>
      <c r="S31" s="9">
        <f t="shared" si="14"/>
        <v>5.0234499999999995</v>
      </c>
      <c r="T31" s="9">
        <f t="shared" si="15"/>
        <v>4.89018</v>
      </c>
      <c r="U31" s="9">
        <f t="shared" si="16"/>
        <v>17.225000000000001</v>
      </c>
      <c r="V31" s="9">
        <f t="shared" si="17"/>
        <v>7.9266699999999997</v>
      </c>
      <c r="W31" s="9">
        <f t="shared" si="18"/>
        <v>3.11233</v>
      </c>
      <c r="X31" s="9">
        <f t="shared" si="19"/>
        <v>0.95</v>
      </c>
    </row>
    <row r="48" spans="16:18" x14ac:dyDescent="0.25">
      <c r="P48" s="1"/>
      <c r="Q48" s="1"/>
      <c r="R48" s="1"/>
    </row>
    <row r="50" spans="4:5" x14ac:dyDescent="0.25">
      <c r="D50" s="1"/>
      <c r="E50" s="1"/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Talapka, Petra</dc:creator>
  <cp:lastModifiedBy>Talapka, Petra</cp:lastModifiedBy>
  <dcterms:created xsi:type="dcterms:W3CDTF">2025-12-17T13:53:58Z</dcterms:created>
  <dcterms:modified xsi:type="dcterms:W3CDTF">2025-12-17T15:32:57Z</dcterms:modified>
</cp:coreProperties>
</file>