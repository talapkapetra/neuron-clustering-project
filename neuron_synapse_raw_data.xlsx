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gx-my.sharepoint.com/personal/petra_talapka_gerresheimer_com/Documents/Desktop/Petra_Talapka/portfolio/"/>
    </mc:Choice>
  </mc:AlternateContent>
  <xr:revisionPtr revIDLastSave="84" documentId="8_{D5214720-9D23-478D-8C7C-18FAED3AC76A}" xr6:coauthVersionLast="47" xr6:coauthVersionMax="47" xr10:uidLastSave="{49103CE8-CD00-42AD-9F7B-50B00D90B309}"/>
  <bookViews>
    <workbookView xWindow="28680" yWindow="-120" windowWidth="38640" windowHeight="21120" xr2:uid="{A143FCF5-8B50-4C57-9F85-A9B633CFA68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5" i="1" l="1"/>
  <c r="X146" i="1"/>
  <c r="X147" i="1"/>
  <c r="X148" i="1"/>
  <c r="X149" i="1"/>
  <c r="X150" i="1"/>
  <c r="X167" i="1"/>
  <c r="X168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W145" i="1"/>
  <c r="W146" i="1"/>
  <c r="W147" i="1"/>
  <c r="W148" i="1"/>
  <c r="W149" i="1"/>
  <c r="W150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V145" i="1"/>
  <c r="V146" i="1"/>
  <c r="V147" i="1"/>
  <c r="V148" i="1"/>
  <c r="V149" i="1"/>
  <c r="V150" i="1"/>
  <c r="V188" i="1"/>
  <c r="V189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U145" i="1"/>
  <c r="U146" i="1"/>
  <c r="U147" i="1"/>
  <c r="U148" i="1"/>
  <c r="U149" i="1"/>
  <c r="U150" i="1"/>
  <c r="U184" i="1"/>
  <c r="U185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T145" i="1"/>
  <c r="T146" i="1"/>
  <c r="T147" i="1"/>
  <c r="T148" i="1"/>
  <c r="T149" i="1"/>
  <c r="T150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S145" i="1"/>
  <c r="S146" i="1"/>
  <c r="S147" i="1"/>
  <c r="S148" i="1"/>
  <c r="S149" i="1"/>
  <c r="S150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O152" i="1"/>
  <c r="X152" i="1" s="1"/>
  <c r="O153" i="1"/>
  <c r="X153" i="1" s="1"/>
  <c r="O154" i="1"/>
  <c r="X154" i="1" s="1"/>
  <c r="O155" i="1"/>
  <c r="X155" i="1" s="1"/>
  <c r="O156" i="1"/>
  <c r="X156" i="1" s="1"/>
  <c r="O157" i="1"/>
  <c r="X157" i="1" s="1"/>
  <c r="O158" i="1"/>
  <c r="X158" i="1" s="1"/>
  <c r="O159" i="1"/>
  <c r="X159" i="1" s="1"/>
  <c r="O160" i="1"/>
  <c r="X160" i="1" s="1"/>
  <c r="O161" i="1"/>
  <c r="X161" i="1" s="1"/>
  <c r="O162" i="1"/>
  <c r="X162" i="1" s="1"/>
  <c r="O163" i="1"/>
  <c r="X163" i="1" s="1"/>
  <c r="O164" i="1"/>
  <c r="X164" i="1" s="1"/>
  <c r="O165" i="1"/>
  <c r="X165" i="1" s="1"/>
  <c r="O166" i="1"/>
  <c r="X166" i="1" s="1"/>
  <c r="O167" i="1"/>
  <c r="O168" i="1"/>
  <c r="O169" i="1"/>
  <c r="X169" i="1" s="1"/>
  <c r="O170" i="1"/>
  <c r="X170" i="1" s="1"/>
  <c r="O171" i="1"/>
  <c r="X171" i="1" s="1"/>
  <c r="O172" i="1"/>
  <c r="X172" i="1" s="1"/>
  <c r="O173" i="1"/>
  <c r="X173" i="1" s="1"/>
  <c r="O174" i="1"/>
  <c r="X174" i="1" s="1"/>
  <c r="O175" i="1"/>
  <c r="X175" i="1" s="1"/>
  <c r="O176" i="1"/>
  <c r="X176" i="1" s="1"/>
  <c r="O177" i="1"/>
  <c r="X177" i="1" s="1"/>
  <c r="O178" i="1"/>
  <c r="X178" i="1" s="1"/>
  <c r="O179" i="1"/>
  <c r="X179" i="1" s="1"/>
  <c r="O180" i="1"/>
  <c r="X180" i="1" s="1"/>
  <c r="O181" i="1"/>
  <c r="X181" i="1" s="1"/>
  <c r="O182" i="1"/>
  <c r="X182" i="1" s="1"/>
  <c r="O183" i="1"/>
  <c r="X183" i="1" s="1"/>
  <c r="O184" i="1"/>
  <c r="X184" i="1" s="1"/>
  <c r="O185" i="1"/>
  <c r="X185" i="1" s="1"/>
  <c r="O186" i="1"/>
  <c r="X186" i="1" s="1"/>
  <c r="O187" i="1"/>
  <c r="X187" i="1" s="1"/>
  <c r="O188" i="1"/>
  <c r="X188" i="1" s="1"/>
  <c r="O189" i="1"/>
  <c r="X189" i="1" s="1"/>
  <c r="O190" i="1"/>
  <c r="X190" i="1" s="1"/>
  <c r="O191" i="1"/>
  <c r="X191" i="1" s="1"/>
  <c r="O192" i="1"/>
  <c r="X192" i="1" s="1"/>
  <c r="O151" i="1"/>
  <c r="X151" i="1" s="1"/>
  <c r="N152" i="1"/>
  <c r="W152" i="1" s="1"/>
  <c r="N153" i="1"/>
  <c r="W153" i="1" s="1"/>
  <c r="N154" i="1"/>
  <c r="W154" i="1" s="1"/>
  <c r="N155" i="1"/>
  <c r="W155" i="1" s="1"/>
  <c r="N156" i="1"/>
  <c r="W156" i="1" s="1"/>
  <c r="N157" i="1"/>
  <c r="W157" i="1" s="1"/>
  <c r="N158" i="1"/>
  <c r="W158" i="1" s="1"/>
  <c r="N159" i="1"/>
  <c r="W159" i="1" s="1"/>
  <c r="N160" i="1"/>
  <c r="W160" i="1" s="1"/>
  <c r="N161" i="1"/>
  <c r="W161" i="1" s="1"/>
  <c r="N162" i="1"/>
  <c r="W162" i="1" s="1"/>
  <c r="N163" i="1"/>
  <c r="W163" i="1" s="1"/>
  <c r="N164" i="1"/>
  <c r="W164" i="1" s="1"/>
  <c r="N165" i="1"/>
  <c r="W165" i="1" s="1"/>
  <c r="N166" i="1"/>
  <c r="W166" i="1" s="1"/>
  <c r="N167" i="1"/>
  <c r="W167" i="1" s="1"/>
  <c r="N168" i="1"/>
  <c r="W168" i="1" s="1"/>
  <c r="N169" i="1"/>
  <c r="W169" i="1" s="1"/>
  <c r="N170" i="1"/>
  <c r="W170" i="1" s="1"/>
  <c r="N171" i="1"/>
  <c r="W171" i="1" s="1"/>
  <c r="N172" i="1"/>
  <c r="W172" i="1" s="1"/>
  <c r="N173" i="1"/>
  <c r="W173" i="1" s="1"/>
  <c r="N174" i="1"/>
  <c r="W174" i="1" s="1"/>
  <c r="N175" i="1"/>
  <c r="W175" i="1" s="1"/>
  <c r="N176" i="1"/>
  <c r="W176" i="1" s="1"/>
  <c r="N177" i="1"/>
  <c r="W177" i="1" s="1"/>
  <c r="N178" i="1"/>
  <c r="W178" i="1" s="1"/>
  <c r="N179" i="1"/>
  <c r="W179" i="1" s="1"/>
  <c r="N180" i="1"/>
  <c r="W180" i="1" s="1"/>
  <c r="N181" i="1"/>
  <c r="W181" i="1" s="1"/>
  <c r="N182" i="1"/>
  <c r="W182" i="1" s="1"/>
  <c r="N183" i="1"/>
  <c r="W183" i="1" s="1"/>
  <c r="N184" i="1"/>
  <c r="W184" i="1" s="1"/>
  <c r="N185" i="1"/>
  <c r="W185" i="1" s="1"/>
  <c r="N186" i="1"/>
  <c r="W186" i="1" s="1"/>
  <c r="N187" i="1"/>
  <c r="W187" i="1" s="1"/>
  <c r="N188" i="1"/>
  <c r="W188" i="1" s="1"/>
  <c r="N189" i="1"/>
  <c r="W189" i="1" s="1"/>
  <c r="N190" i="1"/>
  <c r="W190" i="1" s="1"/>
  <c r="N191" i="1"/>
  <c r="W191" i="1" s="1"/>
  <c r="N192" i="1"/>
  <c r="W192" i="1" s="1"/>
  <c r="N151" i="1"/>
  <c r="W151" i="1" s="1"/>
  <c r="M152" i="1"/>
  <c r="V152" i="1" s="1"/>
  <c r="M153" i="1"/>
  <c r="V153" i="1" s="1"/>
  <c r="M154" i="1"/>
  <c r="V154" i="1" s="1"/>
  <c r="M155" i="1"/>
  <c r="V155" i="1" s="1"/>
  <c r="M156" i="1"/>
  <c r="V156" i="1" s="1"/>
  <c r="M157" i="1"/>
  <c r="V157" i="1" s="1"/>
  <c r="M158" i="1"/>
  <c r="V158" i="1" s="1"/>
  <c r="M159" i="1"/>
  <c r="V159" i="1" s="1"/>
  <c r="M160" i="1"/>
  <c r="V160" i="1" s="1"/>
  <c r="M161" i="1"/>
  <c r="V161" i="1" s="1"/>
  <c r="M162" i="1"/>
  <c r="V162" i="1" s="1"/>
  <c r="M163" i="1"/>
  <c r="V163" i="1" s="1"/>
  <c r="M164" i="1"/>
  <c r="V164" i="1" s="1"/>
  <c r="M165" i="1"/>
  <c r="V165" i="1" s="1"/>
  <c r="M166" i="1"/>
  <c r="V166" i="1" s="1"/>
  <c r="M167" i="1"/>
  <c r="V167" i="1" s="1"/>
  <c r="M168" i="1"/>
  <c r="V168" i="1" s="1"/>
  <c r="M169" i="1"/>
  <c r="V169" i="1" s="1"/>
  <c r="M170" i="1"/>
  <c r="V170" i="1" s="1"/>
  <c r="M171" i="1"/>
  <c r="V171" i="1" s="1"/>
  <c r="M172" i="1"/>
  <c r="V172" i="1" s="1"/>
  <c r="M173" i="1"/>
  <c r="V173" i="1" s="1"/>
  <c r="M174" i="1"/>
  <c r="V174" i="1" s="1"/>
  <c r="M175" i="1"/>
  <c r="V175" i="1" s="1"/>
  <c r="M176" i="1"/>
  <c r="V176" i="1" s="1"/>
  <c r="M177" i="1"/>
  <c r="V177" i="1" s="1"/>
  <c r="M178" i="1"/>
  <c r="V178" i="1" s="1"/>
  <c r="M179" i="1"/>
  <c r="V179" i="1" s="1"/>
  <c r="M180" i="1"/>
  <c r="V180" i="1" s="1"/>
  <c r="M181" i="1"/>
  <c r="V181" i="1" s="1"/>
  <c r="M182" i="1"/>
  <c r="V182" i="1" s="1"/>
  <c r="M183" i="1"/>
  <c r="V183" i="1" s="1"/>
  <c r="M184" i="1"/>
  <c r="V184" i="1" s="1"/>
  <c r="M185" i="1"/>
  <c r="V185" i="1" s="1"/>
  <c r="M186" i="1"/>
  <c r="V186" i="1" s="1"/>
  <c r="M187" i="1"/>
  <c r="V187" i="1" s="1"/>
  <c r="M188" i="1"/>
  <c r="M189" i="1"/>
  <c r="M190" i="1"/>
  <c r="V190" i="1" s="1"/>
  <c r="M191" i="1"/>
  <c r="V191" i="1" s="1"/>
  <c r="M192" i="1"/>
  <c r="V192" i="1" s="1"/>
  <c r="M151" i="1"/>
  <c r="V151" i="1" s="1"/>
  <c r="L152" i="1"/>
  <c r="U152" i="1" s="1"/>
  <c r="L153" i="1"/>
  <c r="U153" i="1" s="1"/>
  <c r="L154" i="1"/>
  <c r="U154" i="1" s="1"/>
  <c r="L155" i="1"/>
  <c r="U155" i="1" s="1"/>
  <c r="L156" i="1"/>
  <c r="U156" i="1" s="1"/>
  <c r="L157" i="1"/>
  <c r="U157" i="1" s="1"/>
  <c r="L158" i="1"/>
  <c r="U158" i="1" s="1"/>
  <c r="L159" i="1"/>
  <c r="U159" i="1" s="1"/>
  <c r="L160" i="1"/>
  <c r="U160" i="1" s="1"/>
  <c r="L161" i="1"/>
  <c r="U161" i="1" s="1"/>
  <c r="L162" i="1"/>
  <c r="U162" i="1" s="1"/>
  <c r="L163" i="1"/>
  <c r="U163" i="1" s="1"/>
  <c r="L164" i="1"/>
  <c r="U164" i="1" s="1"/>
  <c r="L165" i="1"/>
  <c r="U165" i="1" s="1"/>
  <c r="L166" i="1"/>
  <c r="U166" i="1" s="1"/>
  <c r="L167" i="1"/>
  <c r="U167" i="1" s="1"/>
  <c r="L168" i="1"/>
  <c r="U168" i="1" s="1"/>
  <c r="L169" i="1"/>
  <c r="U169" i="1" s="1"/>
  <c r="L170" i="1"/>
  <c r="U170" i="1" s="1"/>
  <c r="L171" i="1"/>
  <c r="U171" i="1" s="1"/>
  <c r="L172" i="1"/>
  <c r="U172" i="1" s="1"/>
  <c r="L173" i="1"/>
  <c r="U173" i="1" s="1"/>
  <c r="L174" i="1"/>
  <c r="U174" i="1" s="1"/>
  <c r="L175" i="1"/>
  <c r="U175" i="1" s="1"/>
  <c r="L176" i="1"/>
  <c r="U176" i="1" s="1"/>
  <c r="L177" i="1"/>
  <c r="U177" i="1" s="1"/>
  <c r="L178" i="1"/>
  <c r="U178" i="1" s="1"/>
  <c r="L179" i="1"/>
  <c r="U179" i="1" s="1"/>
  <c r="L180" i="1"/>
  <c r="U180" i="1" s="1"/>
  <c r="L181" i="1"/>
  <c r="U181" i="1" s="1"/>
  <c r="L182" i="1"/>
  <c r="U182" i="1" s="1"/>
  <c r="L183" i="1"/>
  <c r="U183" i="1" s="1"/>
  <c r="L184" i="1"/>
  <c r="L185" i="1"/>
  <c r="L186" i="1"/>
  <c r="U186" i="1" s="1"/>
  <c r="L187" i="1"/>
  <c r="U187" i="1" s="1"/>
  <c r="L188" i="1"/>
  <c r="U188" i="1" s="1"/>
  <c r="L189" i="1"/>
  <c r="U189" i="1" s="1"/>
  <c r="L190" i="1"/>
  <c r="U190" i="1" s="1"/>
  <c r="L191" i="1"/>
  <c r="U191" i="1" s="1"/>
  <c r="L192" i="1"/>
  <c r="U192" i="1" s="1"/>
  <c r="L151" i="1"/>
  <c r="U151" i="1" s="1"/>
  <c r="K152" i="1"/>
  <c r="T152" i="1" s="1"/>
  <c r="K153" i="1"/>
  <c r="T153" i="1" s="1"/>
  <c r="K154" i="1"/>
  <c r="T154" i="1" s="1"/>
  <c r="K155" i="1"/>
  <c r="T155" i="1" s="1"/>
  <c r="K156" i="1"/>
  <c r="T156" i="1" s="1"/>
  <c r="K157" i="1"/>
  <c r="T157" i="1" s="1"/>
  <c r="K158" i="1"/>
  <c r="T158" i="1" s="1"/>
  <c r="K159" i="1"/>
  <c r="T159" i="1" s="1"/>
  <c r="K160" i="1"/>
  <c r="T160" i="1" s="1"/>
  <c r="K161" i="1"/>
  <c r="T161" i="1" s="1"/>
  <c r="K162" i="1"/>
  <c r="T162" i="1" s="1"/>
  <c r="K163" i="1"/>
  <c r="T163" i="1" s="1"/>
  <c r="K164" i="1"/>
  <c r="T164" i="1" s="1"/>
  <c r="K165" i="1"/>
  <c r="T165" i="1" s="1"/>
  <c r="K166" i="1"/>
  <c r="T166" i="1" s="1"/>
  <c r="K167" i="1"/>
  <c r="T167" i="1" s="1"/>
  <c r="K168" i="1"/>
  <c r="T168" i="1" s="1"/>
  <c r="K169" i="1"/>
  <c r="T169" i="1" s="1"/>
  <c r="K170" i="1"/>
  <c r="T170" i="1" s="1"/>
  <c r="K171" i="1"/>
  <c r="T171" i="1" s="1"/>
  <c r="K172" i="1"/>
  <c r="T172" i="1" s="1"/>
  <c r="K173" i="1"/>
  <c r="T173" i="1" s="1"/>
  <c r="K174" i="1"/>
  <c r="T174" i="1" s="1"/>
  <c r="K175" i="1"/>
  <c r="T175" i="1" s="1"/>
  <c r="K176" i="1"/>
  <c r="T176" i="1" s="1"/>
  <c r="K177" i="1"/>
  <c r="T177" i="1" s="1"/>
  <c r="K178" i="1"/>
  <c r="T178" i="1" s="1"/>
  <c r="K179" i="1"/>
  <c r="T179" i="1" s="1"/>
  <c r="K180" i="1"/>
  <c r="T180" i="1" s="1"/>
  <c r="K181" i="1"/>
  <c r="T181" i="1" s="1"/>
  <c r="K182" i="1"/>
  <c r="T182" i="1" s="1"/>
  <c r="K183" i="1"/>
  <c r="T183" i="1" s="1"/>
  <c r="K184" i="1"/>
  <c r="T184" i="1" s="1"/>
  <c r="K185" i="1"/>
  <c r="T185" i="1" s="1"/>
  <c r="K186" i="1"/>
  <c r="T186" i="1" s="1"/>
  <c r="K187" i="1"/>
  <c r="T187" i="1" s="1"/>
  <c r="K188" i="1"/>
  <c r="T188" i="1" s="1"/>
  <c r="K189" i="1"/>
  <c r="T189" i="1" s="1"/>
  <c r="K190" i="1"/>
  <c r="T190" i="1" s="1"/>
  <c r="K191" i="1"/>
  <c r="T191" i="1" s="1"/>
  <c r="K192" i="1"/>
  <c r="T192" i="1" s="1"/>
  <c r="K151" i="1"/>
  <c r="T151" i="1" s="1"/>
  <c r="J152" i="1"/>
  <c r="S152" i="1" s="1"/>
  <c r="J153" i="1"/>
  <c r="S153" i="1" s="1"/>
  <c r="J154" i="1"/>
  <c r="S154" i="1" s="1"/>
  <c r="J155" i="1"/>
  <c r="S155" i="1" s="1"/>
  <c r="J156" i="1"/>
  <c r="S156" i="1" s="1"/>
  <c r="J157" i="1"/>
  <c r="S157" i="1" s="1"/>
  <c r="J158" i="1"/>
  <c r="S158" i="1" s="1"/>
  <c r="J159" i="1"/>
  <c r="S159" i="1" s="1"/>
  <c r="J160" i="1"/>
  <c r="S160" i="1" s="1"/>
  <c r="J161" i="1"/>
  <c r="S161" i="1" s="1"/>
  <c r="J162" i="1"/>
  <c r="S162" i="1" s="1"/>
  <c r="J163" i="1"/>
  <c r="S163" i="1" s="1"/>
  <c r="J164" i="1"/>
  <c r="S164" i="1" s="1"/>
  <c r="J165" i="1"/>
  <c r="S165" i="1" s="1"/>
  <c r="J166" i="1"/>
  <c r="S166" i="1" s="1"/>
  <c r="J167" i="1"/>
  <c r="S167" i="1" s="1"/>
  <c r="J168" i="1"/>
  <c r="S168" i="1" s="1"/>
  <c r="J169" i="1"/>
  <c r="S169" i="1" s="1"/>
  <c r="J170" i="1"/>
  <c r="S170" i="1" s="1"/>
  <c r="J171" i="1"/>
  <c r="S171" i="1" s="1"/>
  <c r="J172" i="1"/>
  <c r="S172" i="1" s="1"/>
  <c r="J173" i="1"/>
  <c r="S173" i="1" s="1"/>
  <c r="J174" i="1"/>
  <c r="S174" i="1" s="1"/>
  <c r="J175" i="1"/>
  <c r="S175" i="1" s="1"/>
  <c r="J176" i="1"/>
  <c r="S176" i="1" s="1"/>
  <c r="J177" i="1"/>
  <c r="S177" i="1" s="1"/>
  <c r="J178" i="1"/>
  <c r="S178" i="1" s="1"/>
  <c r="J179" i="1"/>
  <c r="S179" i="1" s="1"/>
  <c r="J180" i="1"/>
  <c r="S180" i="1" s="1"/>
  <c r="J181" i="1"/>
  <c r="S181" i="1" s="1"/>
  <c r="J182" i="1"/>
  <c r="S182" i="1" s="1"/>
  <c r="J183" i="1"/>
  <c r="S183" i="1" s="1"/>
  <c r="J184" i="1"/>
  <c r="S184" i="1" s="1"/>
  <c r="J185" i="1"/>
  <c r="S185" i="1" s="1"/>
  <c r="J186" i="1"/>
  <c r="S186" i="1" s="1"/>
  <c r="J187" i="1"/>
  <c r="S187" i="1" s="1"/>
  <c r="J188" i="1"/>
  <c r="S188" i="1" s="1"/>
  <c r="J189" i="1"/>
  <c r="S189" i="1" s="1"/>
  <c r="J190" i="1"/>
  <c r="S190" i="1" s="1"/>
  <c r="J191" i="1"/>
  <c r="S191" i="1" s="1"/>
  <c r="J192" i="1"/>
  <c r="S192" i="1" s="1"/>
  <c r="J151" i="1"/>
  <c r="S151" i="1" s="1"/>
  <c r="O109" i="1" l="1"/>
  <c r="X109" i="1" s="1"/>
  <c r="O110" i="1"/>
  <c r="X110" i="1" s="1"/>
  <c r="O111" i="1"/>
  <c r="X111" i="1" s="1"/>
  <c r="O112" i="1"/>
  <c r="X112" i="1" s="1"/>
  <c r="O113" i="1"/>
  <c r="X113" i="1" s="1"/>
  <c r="O114" i="1"/>
  <c r="X114" i="1" s="1"/>
  <c r="O115" i="1"/>
  <c r="X115" i="1" s="1"/>
  <c r="O116" i="1"/>
  <c r="X116" i="1" s="1"/>
  <c r="O117" i="1"/>
  <c r="X117" i="1" s="1"/>
  <c r="O118" i="1"/>
  <c r="X118" i="1" s="1"/>
  <c r="O119" i="1"/>
  <c r="X119" i="1" s="1"/>
  <c r="O120" i="1"/>
  <c r="X120" i="1" s="1"/>
  <c r="O121" i="1"/>
  <c r="X121" i="1" s="1"/>
  <c r="O122" i="1"/>
  <c r="X122" i="1" s="1"/>
  <c r="O123" i="1"/>
  <c r="X123" i="1" s="1"/>
  <c r="O124" i="1"/>
  <c r="X124" i="1" s="1"/>
  <c r="O125" i="1"/>
  <c r="X125" i="1" s="1"/>
  <c r="O126" i="1"/>
  <c r="X126" i="1" s="1"/>
  <c r="O127" i="1"/>
  <c r="X127" i="1" s="1"/>
  <c r="O128" i="1"/>
  <c r="X128" i="1" s="1"/>
  <c r="O129" i="1"/>
  <c r="X129" i="1" s="1"/>
  <c r="O130" i="1"/>
  <c r="X130" i="1" s="1"/>
  <c r="O131" i="1"/>
  <c r="X131" i="1" s="1"/>
  <c r="O132" i="1"/>
  <c r="X132" i="1" s="1"/>
  <c r="O133" i="1"/>
  <c r="X133" i="1" s="1"/>
  <c r="O134" i="1"/>
  <c r="X134" i="1" s="1"/>
  <c r="O135" i="1"/>
  <c r="X135" i="1" s="1"/>
  <c r="O136" i="1"/>
  <c r="X136" i="1" s="1"/>
  <c r="O137" i="1"/>
  <c r="X137" i="1" s="1"/>
  <c r="O138" i="1"/>
  <c r="X138" i="1" s="1"/>
  <c r="O139" i="1"/>
  <c r="X139" i="1" s="1"/>
  <c r="O140" i="1"/>
  <c r="X140" i="1" s="1"/>
  <c r="O141" i="1"/>
  <c r="X141" i="1" s="1"/>
  <c r="O142" i="1"/>
  <c r="X142" i="1" s="1"/>
  <c r="O143" i="1"/>
  <c r="X143" i="1" s="1"/>
  <c r="O144" i="1"/>
  <c r="X144" i="1" s="1"/>
  <c r="N109" i="1"/>
  <c r="W109" i="1" s="1"/>
  <c r="N110" i="1"/>
  <c r="W110" i="1" s="1"/>
  <c r="N111" i="1"/>
  <c r="W111" i="1" s="1"/>
  <c r="N112" i="1"/>
  <c r="W112" i="1" s="1"/>
  <c r="N113" i="1"/>
  <c r="W113" i="1" s="1"/>
  <c r="N114" i="1"/>
  <c r="W114" i="1" s="1"/>
  <c r="N115" i="1"/>
  <c r="W115" i="1" s="1"/>
  <c r="N116" i="1"/>
  <c r="W116" i="1" s="1"/>
  <c r="N117" i="1"/>
  <c r="W117" i="1" s="1"/>
  <c r="N118" i="1"/>
  <c r="W118" i="1" s="1"/>
  <c r="N119" i="1"/>
  <c r="W119" i="1" s="1"/>
  <c r="N120" i="1"/>
  <c r="W120" i="1" s="1"/>
  <c r="N121" i="1"/>
  <c r="W121" i="1" s="1"/>
  <c r="N122" i="1"/>
  <c r="W122" i="1" s="1"/>
  <c r="N123" i="1"/>
  <c r="W123" i="1" s="1"/>
  <c r="N124" i="1"/>
  <c r="W124" i="1" s="1"/>
  <c r="N125" i="1"/>
  <c r="W125" i="1" s="1"/>
  <c r="N126" i="1"/>
  <c r="W126" i="1" s="1"/>
  <c r="N127" i="1"/>
  <c r="W127" i="1" s="1"/>
  <c r="N128" i="1"/>
  <c r="W128" i="1" s="1"/>
  <c r="N129" i="1"/>
  <c r="W129" i="1" s="1"/>
  <c r="N130" i="1"/>
  <c r="W130" i="1" s="1"/>
  <c r="N131" i="1"/>
  <c r="W131" i="1" s="1"/>
  <c r="N132" i="1"/>
  <c r="W132" i="1" s="1"/>
  <c r="N133" i="1"/>
  <c r="W133" i="1" s="1"/>
  <c r="N134" i="1"/>
  <c r="W134" i="1" s="1"/>
  <c r="N135" i="1"/>
  <c r="W135" i="1" s="1"/>
  <c r="N136" i="1"/>
  <c r="W136" i="1" s="1"/>
  <c r="N137" i="1"/>
  <c r="W137" i="1" s="1"/>
  <c r="N138" i="1"/>
  <c r="W138" i="1" s="1"/>
  <c r="N139" i="1"/>
  <c r="W139" i="1" s="1"/>
  <c r="N140" i="1"/>
  <c r="W140" i="1" s="1"/>
  <c r="N141" i="1"/>
  <c r="W141" i="1" s="1"/>
  <c r="N142" i="1"/>
  <c r="W142" i="1" s="1"/>
  <c r="N143" i="1"/>
  <c r="W143" i="1" s="1"/>
  <c r="N144" i="1"/>
  <c r="W144" i="1" s="1"/>
  <c r="M109" i="1"/>
  <c r="V109" i="1" s="1"/>
  <c r="M110" i="1"/>
  <c r="V110" i="1" s="1"/>
  <c r="M111" i="1"/>
  <c r="V111" i="1" s="1"/>
  <c r="M112" i="1"/>
  <c r="V112" i="1" s="1"/>
  <c r="M113" i="1"/>
  <c r="V113" i="1" s="1"/>
  <c r="M114" i="1"/>
  <c r="V114" i="1" s="1"/>
  <c r="M115" i="1"/>
  <c r="V115" i="1" s="1"/>
  <c r="M116" i="1"/>
  <c r="V116" i="1" s="1"/>
  <c r="M117" i="1"/>
  <c r="V117" i="1" s="1"/>
  <c r="M118" i="1"/>
  <c r="V118" i="1" s="1"/>
  <c r="M119" i="1"/>
  <c r="V119" i="1" s="1"/>
  <c r="M120" i="1"/>
  <c r="V120" i="1" s="1"/>
  <c r="M121" i="1"/>
  <c r="V121" i="1" s="1"/>
  <c r="M122" i="1"/>
  <c r="V122" i="1" s="1"/>
  <c r="M123" i="1"/>
  <c r="V123" i="1" s="1"/>
  <c r="M124" i="1"/>
  <c r="V124" i="1" s="1"/>
  <c r="M125" i="1"/>
  <c r="V125" i="1" s="1"/>
  <c r="M126" i="1"/>
  <c r="V126" i="1" s="1"/>
  <c r="M127" i="1"/>
  <c r="V127" i="1" s="1"/>
  <c r="M128" i="1"/>
  <c r="V128" i="1" s="1"/>
  <c r="M129" i="1"/>
  <c r="V129" i="1" s="1"/>
  <c r="M130" i="1"/>
  <c r="V130" i="1" s="1"/>
  <c r="M131" i="1"/>
  <c r="V131" i="1" s="1"/>
  <c r="M132" i="1"/>
  <c r="V132" i="1" s="1"/>
  <c r="M133" i="1"/>
  <c r="V133" i="1" s="1"/>
  <c r="M134" i="1"/>
  <c r="V134" i="1" s="1"/>
  <c r="M135" i="1"/>
  <c r="V135" i="1" s="1"/>
  <c r="M136" i="1"/>
  <c r="V136" i="1" s="1"/>
  <c r="M137" i="1"/>
  <c r="V137" i="1" s="1"/>
  <c r="M138" i="1"/>
  <c r="V138" i="1" s="1"/>
  <c r="M139" i="1"/>
  <c r="V139" i="1" s="1"/>
  <c r="M140" i="1"/>
  <c r="V140" i="1" s="1"/>
  <c r="M141" i="1"/>
  <c r="V141" i="1" s="1"/>
  <c r="M142" i="1"/>
  <c r="V142" i="1" s="1"/>
  <c r="M143" i="1"/>
  <c r="V143" i="1" s="1"/>
  <c r="M144" i="1"/>
  <c r="V144" i="1" s="1"/>
  <c r="L109" i="1"/>
  <c r="U109" i="1" s="1"/>
  <c r="L110" i="1"/>
  <c r="U110" i="1" s="1"/>
  <c r="L111" i="1"/>
  <c r="U111" i="1" s="1"/>
  <c r="L112" i="1"/>
  <c r="U112" i="1" s="1"/>
  <c r="L113" i="1"/>
  <c r="U113" i="1" s="1"/>
  <c r="L114" i="1"/>
  <c r="U114" i="1" s="1"/>
  <c r="L115" i="1"/>
  <c r="U115" i="1" s="1"/>
  <c r="L116" i="1"/>
  <c r="U116" i="1" s="1"/>
  <c r="L117" i="1"/>
  <c r="U117" i="1" s="1"/>
  <c r="L118" i="1"/>
  <c r="U118" i="1" s="1"/>
  <c r="L119" i="1"/>
  <c r="U119" i="1" s="1"/>
  <c r="L120" i="1"/>
  <c r="U120" i="1" s="1"/>
  <c r="L121" i="1"/>
  <c r="U121" i="1" s="1"/>
  <c r="L122" i="1"/>
  <c r="U122" i="1" s="1"/>
  <c r="L123" i="1"/>
  <c r="U123" i="1" s="1"/>
  <c r="L124" i="1"/>
  <c r="U124" i="1" s="1"/>
  <c r="L125" i="1"/>
  <c r="U125" i="1" s="1"/>
  <c r="L126" i="1"/>
  <c r="U126" i="1" s="1"/>
  <c r="L127" i="1"/>
  <c r="U127" i="1" s="1"/>
  <c r="L128" i="1"/>
  <c r="U128" i="1" s="1"/>
  <c r="L129" i="1"/>
  <c r="U129" i="1" s="1"/>
  <c r="L130" i="1"/>
  <c r="U130" i="1" s="1"/>
  <c r="L131" i="1"/>
  <c r="U131" i="1" s="1"/>
  <c r="L132" i="1"/>
  <c r="U132" i="1" s="1"/>
  <c r="L133" i="1"/>
  <c r="U133" i="1" s="1"/>
  <c r="L134" i="1"/>
  <c r="U134" i="1" s="1"/>
  <c r="L135" i="1"/>
  <c r="U135" i="1" s="1"/>
  <c r="L136" i="1"/>
  <c r="U136" i="1" s="1"/>
  <c r="L137" i="1"/>
  <c r="U137" i="1" s="1"/>
  <c r="L138" i="1"/>
  <c r="U138" i="1" s="1"/>
  <c r="L139" i="1"/>
  <c r="U139" i="1" s="1"/>
  <c r="L140" i="1"/>
  <c r="U140" i="1" s="1"/>
  <c r="L141" i="1"/>
  <c r="U141" i="1" s="1"/>
  <c r="L142" i="1"/>
  <c r="U142" i="1" s="1"/>
  <c r="L143" i="1"/>
  <c r="U143" i="1" s="1"/>
  <c r="L144" i="1"/>
  <c r="U144" i="1" s="1"/>
  <c r="K109" i="1"/>
  <c r="T109" i="1" s="1"/>
  <c r="K110" i="1"/>
  <c r="T110" i="1" s="1"/>
  <c r="K111" i="1"/>
  <c r="T111" i="1" s="1"/>
  <c r="K112" i="1"/>
  <c r="T112" i="1" s="1"/>
  <c r="K113" i="1"/>
  <c r="T113" i="1" s="1"/>
  <c r="K114" i="1"/>
  <c r="T114" i="1" s="1"/>
  <c r="K115" i="1"/>
  <c r="T115" i="1" s="1"/>
  <c r="K116" i="1"/>
  <c r="T116" i="1" s="1"/>
  <c r="K117" i="1"/>
  <c r="T117" i="1" s="1"/>
  <c r="K118" i="1"/>
  <c r="T118" i="1" s="1"/>
  <c r="K119" i="1"/>
  <c r="T119" i="1" s="1"/>
  <c r="K120" i="1"/>
  <c r="T120" i="1" s="1"/>
  <c r="K121" i="1"/>
  <c r="T121" i="1" s="1"/>
  <c r="K122" i="1"/>
  <c r="T122" i="1" s="1"/>
  <c r="K123" i="1"/>
  <c r="T123" i="1" s="1"/>
  <c r="K124" i="1"/>
  <c r="T124" i="1" s="1"/>
  <c r="K125" i="1"/>
  <c r="T125" i="1" s="1"/>
  <c r="K126" i="1"/>
  <c r="T126" i="1" s="1"/>
  <c r="K127" i="1"/>
  <c r="T127" i="1" s="1"/>
  <c r="K128" i="1"/>
  <c r="T128" i="1" s="1"/>
  <c r="K129" i="1"/>
  <c r="T129" i="1" s="1"/>
  <c r="K130" i="1"/>
  <c r="T130" i="1" s="1"/>
  <c r="K131" i="1"/>
  <c r="T131" i="1" s="1"/>
  <c r="K132" i="1"/>
  <c r="T132" i="1" s="1"/>
  <c r="K133" i="1"/>
  <c r="T133" i="1" s="1"/>
  <c r="K134" i="1"/>
  <c r="T134" i="1" s="1"/>
  <c r="K135" i="1"/>
  <c r="T135" i="1" s="1"/>
  <c r="K136" i="1"/>
  <c r="T136" i="1" s="1"/>
  <c r="K137" i="1"/>
  <c r="T137" i="1" s="1"/>
  <c r="K138" i="1"/>
  <c r="T138" i="1" s="1"/>
  <c r="K139" i="1"/>
  <c r="T139" i="1" s="1"/>
  <c r="K140" i="1"/>
  <c r="T140" i="1" s="1"/>
  <c r="K141" i="1"/>
  <c r="T141" i="1" s="1"/>
  <c r="K142" i="1"/>
  <c r="T142" i="1" s="1"/>
  <c r="K143" i="1"/>
  <c r="T143" i="1" s="1"/>
  <c r="K144" i="1"/>
  <c r="T144" i="1" s="1"/>
  <c r="J109" i="1"/>
  <c r="S109" i="1" s="1"/>
  <c r="J110" i="1"/>
  <c r="S110" i="1" s="1"/>
  <c r="J111" i="1"/>
  <c r="S111" i="1" s="1"/>
  <c r="J112" i="1"/>
  <c r="S112" i="1" s="1"/>
  <c r="J113" i="1"/>
  <c r="S113" i="1" s="1"/>
  <c r="J114" i="1"/>
  <c r="S114" i="1" s="1"/>
  <c r="J115" i="1"/>
  <c r="S115" i="1" s="1"/>
  <c r="J116" i="1"/>
  <c r="S116" i="1" s="1"/>
  <c r="J117" i="1"/>
  <c r="S117" i="1" s="1"/>
  <c r="J118" i="1"/>
  <c r="S118" i="1" s="1"/>
  <c r="J119" i="1"/>
  <c r="S119" i="1" s="1"/>
  <c r="J120" i="1"/>
  <c r="S120" i="1" s="1"/>
  <c r="J121" i="1"/>
  <c r="S121" i="1" s="1"/>
  <c r="J122" i="1"/>
  <c r="S122" i="1" s="1"/>
  <c r="J123" i="1"/>
  <c r="S123" i="1" s="1"/>
  <c r="J124" i="1"/>
  <c r="S124" i="1" s="1"/>
  <c r="J125" i="1"/>
  <c r="S125" i="1" s="1"/>
  <c r="J126" i="1"/>
  <c r="S126" i="1" s="1"/>
  <c r="J127" i="1"/>
  <c r="S127" i="1" s="1"/>
  <c r="J128" i="1"/>
  <c r="S128" i="1" s="1"/>
  <c r="J129" i="1"/>
  <c r="S129" i="1" s="1"/>
  <c r="J130" i="1"/>
  <c r="S130" i="1" s="1"/>
  <c r="J131" i="1"/>
  <c r="S131" i="1" s="1"/>
  <c r="J132" i="1"/>
  <c r="S132" i="1" s="1"/>
  <c r="J133" i="1"/>
  <c r="S133" i="1" s="1"/>
  <c r="J134" i="1"/>
  <c r="S134" i="1" s="1"/>
  <c r="J135" i="1"/>
  <c r="S135" i="1" s="1"/>
  <c r="J136" i="1"/>
  <c r="S136" i="1" s="1"/>
  <c r="J137" i="1"/>
  <c r="S137" i="1" s="1"/>
  <c r="J138" i="1"/>
  <c r="S138" i="1" s="1"/>
  <c r="J139" i="1"/>
  <c r="S139" i="1" s="1"/>
  <c r="J140" i="1"/>
  <c r="S140" i="1" s="1"/>
  <c r="J141" i="1"/>
  <c r="S141" i="1" s="1"/>
  <c r="J142" i="1"/>
  <c r="S142" i="1" s="1"/>
  <c r="J143" i="1"/>
  <c r="S143" i="1" s="1"/>
  <c r="J144" i="1"/>
  <c r="S144" i="1" s="1"/>
  <c r="O3" i="1" l="1"/>
  <c r="X3" i="1" s="1"/>
  <c r="O4" i="1"/>
  <c r="X4" i="1" s="1"/>
  <c r="O5" i="1"/>
  <c r="X5" i="1" s="1"/>
  <c r="O6" i="1"/>
  <c r="X6" i="1" s="1"/>
  <c r="O7" i="1"/>
  <c r="X7" i="1" s="1"/>
  <c r="O8" i="1"/>
  <c r="X8" i="1" s="1"/>
  <c r="O9" i="1"/>
  <c r="X9" i="1" s="1"/>
  <c r="O10" i="1"/>
  <c r="X10" i="1" s="1"/>
  <c r="O11" i="1"/>
  <c r="X11" i="1" s="1"/>
  <c r="O12" i="1"/>
  <c r="X12" i="1" s="1"/>
  <c r="O13" i="1"/>
  <c r="X13" i="1" s="1"/>
  <c r="O14" i="1"/>
  <c r="X14" i="1" s="1"/>
  <c r="O15" i="1"/>
  <c r="X15" i="1" s="1"/>
  <c r="O16" i="1"/>
  <c r="X16" i="1" s="1"/>
  <c r="O17" i="1"/>
  <c r="X17" i="1" s="1"/>
  <c r="O18" i="1"/>
  <c r="X18" i="1" s="1"/>
  <c r="O19" i="1"/>
  <c r="X19" i="1" s="1"/>
  <c r="O20" i="1"/>
  <c r="X20" i="1" s="1"/>
  <c r="O21" i="1"/>
  <c r="X21" i="1" s="1"/>
  <c r="O22" i="1"/>
  <c r="X22" i="1" s="1"/>
  <c r="O23" i="1"/>
  <c r="X23" i="1" s="1"/>
  <c r="O24" i="1"/>
  <c r="X24" i="1" s="1"/>
  <c r="O25" i="1"/>
  <c r="X25" i="1" s="1"/>
  <c r="O26" i="1"/>
  <c r="X26" i="1" s="1"/>
  <c r="O27" i="1"/>
  <c r="X27" i="1" s="1"/>
  <c r="O28" i="1"/>
  <c r="X28" i="1" s="1"/>
  <c r="O29" i="1"/>
  <c r="X29" i="1" s="1"/>
  <c r="O30" i="1"/>
  <c r="X30" i="1" s="1"/>
  <c r="O31" i="1"/>
  <c r="X31" i="1" s="1"/>
  <c r="O32" i="1"/>
  <c r="X32" i="1" s="1"/>
  <c r="O33" i="1"/>
  <c r="X33" i="1" s="1"/>
  <c r="O34" i="1"/>
  <c r="X34" i="1" s="1"/>
  <c r="O35" i="1"/>
  <c r="X35" i="1" s="1"/>
  <c r="O36" i="1"/>
  <c r="X36" i="1" s="1"/>
  <c r="O37" i="1"/>
  <c r="X37" i="1" s="1"/>
  <c r="O38" i="1"/>
  <c r="X38" i="1" s="1"/>
  <c r="O39" i="1"/>
  <c r="X39" i="1" s="1"/>
  <c r="O40" i="1"/>
  <c r="X40" i="1" s="1"/>
  <c r="O41" i="1"/>
  <c r="X41" i="1" s="1"/>
  <c r="O42" i="1"/>
  <c r="X42" i="1" s="1"/>
  <c r="O43" i="1"/>
  <c r="X43" i="1" s="1"/>
  <c r="O44" i="1"/>
  <c r="X44" i="1" s="1"/>
  <c r="O45" i="1"/>
  <c r="X45" i="1" s="1"/>
  <c r="O46" i="1"/>
  <c r="X46" i="1" s="1"/>
  <c r="O47" i="1"/>
  <c r="X47" i="1" s="1"/>
  <c r="O48" i="1"/>
  <c r="X48" i="1" s="1"/>
  <c r="O49" i="1"/>
  <c r="X49" i="1" s="1"/>
  <c r="O50" i="1"/>
  <c r="X50" i="1" s="1"/>
  <c r="O51" i="1"/>
  <c r="X51" i="1" s="1"/>
  <c r="O52" i="1"/>
  <c r="X52" i="1" s="1"/>
  <c r="O53" i="1"/>
  <c r="X53" i="1" s="1"/>
  <c r="O54" i="1"/>
  <c r="X54" i="1" s="1"/>
  <c r="O55" i="1"/>
  <c r="X55" i="1" s="1"/>
  <c r="O56" i="1"/>
  <c r="X56" i="1" s="1"/>
  <c r="O57" i="1"/>
  <c r="X57" i="1" s="1"/>
  <c r="O58" i="1"/>
  <c r="X58" i="1" s="1"/>
  <c r="O59" i="1"/>
  <c r="X59" i="1" s="1"/>
  <c r="O60" i="1"/>
  <c r="X60" i="1" s="1"/>
  <c r="O61" i="1"/>
  <c r="X61" i="1" s="1"/>
  <c r="O62" i="1"/>
  <c r="X62" i="1" s="1"/>
  <c r="O63" i="1"/>
  <c r="X63" i="1" s="1"/>
  <c r="O64" i="1"/>
  <c r="X64" i="1" s="1"/>
  <c r="O65" i="1"/>
  <c r="X65" i="1" s="1"/>
  <c r="O66" i="1"/>
  <c r="X66" i="1" s="1"/>
  <c r="O67" i="1"/>
  <c r="X67" i="1" s="1"/>
  <c r="O68" i="1"/>
  <c r="X68" i="1" s="1"/>
  <c r="O69" i="1"/>
  <c r="X69" i="1" s="1"/>
  <c r="O70" i="1"/>
  <c r="X70" i="1" s="1"/>
  <c r="O71" i="1"/>
  <c r="X71" i="1" s="1"/>
  <c r="O72" i="1"/>
  <c r="X72" i="1" s="1"/>
  <c r="O73" i="1"/>
  <c r="X73" i="1" s="1"/>
  <c r="O74" i="1"/>
  <c r="X74" i="1" s="1"/>
  <c r="O75" i="1"/>
  <c r="X75" i="1" s="1"/>
  <c r="O76" i="1"/>
  <c r="X76" i="1" s="1"/>
  <c r="O77" i="1"/>
  <c r="X77" i="1" s="1"/>
  <c r="O78" i="1"/>
  <c r="X78" i="1" s="1"/>
  <c r="O79" i="1"/>
  <c r="X79" i="1" s="1"/>
  <c r="O80" i="1"/>
  <c r="X80" i="1" s="1"/>
  <c r="O81" i="1"/>
  <c r="X81" i="1" s="1"/>
  <c r="O82" i="1"/>
  <c r="X82" i="1" s="1"/>
  <c r="O83" i="1"/>
  <c r="X83" i="1" s="1"/>
  <c r="O84" i="1"/>
  <c r="X84" i="1" s="1"/>
  <c r="O85" i="1"/>
  <c r="X85" i="1" s="1"/>
  <c r="O86" i="1"/>
  <c r="X86" i="1" s="1"/>
  <c r="O87" i="1"/>
  <c r="X87" i="1" s="1"/>
  <c r="O88" i="1"/>
  <c r="X88" i="1" s="1"/>
  <c r="O89" i="1"/>
  <c r="X89" i="1" s="1"/>
  <c r="O90" i="1"/>
  <c r="X90" i="1" s="1"/>
  <c r="O91" i="1"/>
  <c r="X91" i="1" s="1"/>
  <c r="O92" i="1"/>
  <c r="X92" i="1" s="1"/>
  <c r="O93" i="1"/>
  <c r="X93" i="1" s="1"/>
  <c r="O94" i="1"/>
  <c r="X94" i="1" s="1"/>
  <c r="O95" i="1"/>
  <c r="X95" i="1" s="1"/>
  <c r="O96" i="1"/>
  <c r="X96" i="1" s="1"/>
  <c r="O97" i="1"/>
  <c r="X97" i="1" s="1"/>
  <c r="O98" i="1"/>
  <c r="X98" i="1" s="1"/>
  <c r="O99" i="1"/>
  <c r="X99" i="1" s="1"/>
  <c r="O100" i="1"/>
  <c r="X100" i="1" s="1"/>
  <c r="O101" i="1"/>
  <c r="X101" i="1" s="1"/>
  <c r="O102" i="1"/>
  <c r="X102" i="1" s="1"/>
  <c r="O103" i="1"/>
  <c r="X103" i="1" s="1"/>
  <c r="O104" i="1"/>
  <c r="X104" i="1" s="1"/>
  <c r="O105" i="1"/>
  <c r="X105" i="1" s="1"/>
  <c r="O106" i="1"/>
  <c r="X106" i="1" s="1"/>
  <c r="O107" i="1"/>
  <c r="X107" i="1" s="1"/>
  <c r="O108" i="1"/>
  <c r="X108" i="1" s="1"/>
  <c r="O2" i="1"/>
  <c r="X2" i="1" s="1"/>
  <c r="N3" i="1"/>
  <c r="W3" i="1" s="1"/>
  <c r="N4" i="1"/>
  <c r="W4" i="1" s="1"/>
  <c r="N5" i="1"/>
  <c r="W5" i="1" s="1"/>
  <c r="N6" i="1"/>
  <c r="W6" i="1" s="1"/>
  <c r="N7" i="1"/>
  <c r="W7" i="1" s="1"/>
  <c r="N8" i="1"/>
  <c r="W8" i="1" s="1"/>
  <c r="N9" i="1"/>
  <c r="W9" i="1" s="1"/>
  <c r="N10" i="1"/>
  <c r="W10" i="1" s="1"/>
  <c r="N11" i="1"/>
  <c r="W11" i="1" s="1"/>
  <c r="N12" i="1"/>
  <c r="W12" i="1" s="1"/>
  <c r="N13" i="1"/>
  <c r="W13" i="1" s="1"/>
  <c r="N14" i="1"/>
  <c r="W14" i="1" s="1"/>
  <c r="N15" i="1"/>
  <c r="W15" i="1" s="1"/>
  <c r="N16" i="1"/>
  <c r="W16" i="1" s="1"/>
  <c r="N17" i="1"/>
  <c r="W17" i="1" s="1"/>
  <c r="N18" i="1"/>
  <c r="W18" i="1" s="1"/>
  <c r="N19" i="1"/>
  <c r="W19" i="1" s="1"/>
  <c r="N20" i="1"/>
  <c r="W20" i="1" s="1"/>
  <c r="N21" i="1"/>
  <c r="W21" i="1" s="1"/>
  <c r="N22" i="1"/>
  <c r="W22" i="1" s="1"/>
  <c r="N23" i="1"/>
  <c r="W23" i="1" s="1"/>
  <c r="N24" i="1"/>
  <c r="W24" i="1" s="1"/>
  <c r="N25" i="1"/>
  <c r="W25" i="1" s="1"/>
  <c r="N26" i="1"/>
  <c r="W26" i="1" s="1"/>
  <c r="N27" i="1"/>
  <c r="W27" i="1" s="1"/>
  <c r="N28" i="1"/>
  <c r="W28" i="1" s="1"/>
  <c r="N29" i="1"/>
  <c r="W29" i="1" s="1"/>
  <c r="N30" i="1"/>
  <c r="W30" i="1" s="1"/>
  <c r="N31" i="1"/>
  <c r="W31" i="1" s="1"/>
  <c r="N32" i="1"/>
  <c r="W32" i="1" s="1"/>
  <c r="N33" i="1"/>
  <c r="W33" i="1" s="1"/>
  <c r="N34" i="1"/>
  <c r="W34" i="1" s="1"/>
  <c r="N35" i="1"/>
  <c r="W35" i="1" s="1"/>
  <c r="N36" i="1"/>
  <c r="W36" i="1" s="1"/>
  <c r="N37" i="1"/>
  <c r="W37" i="1" s="1"/>
  <c r="N38" i="1"/>
  <c r="W38" i="1" s="1"/>
  <c r="N39" i="1"/>
  <c r="W39" i="1" s="1"/>
  <c r="N40" i="1"/>
  <c r="W40" i="1" s="1"/>
  <c r="N41" i="1"/>
  <c r="W41" i="1" s="1"/>
  <c r="N42" i="1"/>
  <c r="W42" i="1" s="1"/>
  <c r="N43" i="1"/>
  <c r="W43" i="1" s="1"/>
  <c r="N44" i="1"/>
  <c r="W44" i="1" s="1"/>
  <c r="N45" i="1"/>
  <c r="W45" i="1" s="1"/>
  <c r="N46" i="1"/>
  <c r="W46" i="1" s="1"/>
  <c r="N47" i="1"/>
  <c r="W47" i="1" s="1"/>
  <c r="N48" i="1"/>
  <c r="W48" i="1" s="1"/>
  <c r="N49" i="1"/>
  <c r="W49" i="1" s="1"/>
  <c r="N50" i="1"/>
  <c r="W50" i="1" s="1"/>
  <c r="N51" i="1"/>
  <c r="W51" i="1" s="1"/>
  <c r="N52" i="1"/>
  <c r="W52" i="1" s="1"/>
  <c r="N53" i="1"/>
  <c r="W53" i="1" s="1"/>
  <c r="N54" i="1"/>
  <c r="W54" i="1" s="1"/>
  <c r="N55" i="1"/>
  <c r="W55" i="1" s="1"/>
  <c r="N56" i="1"/>
  <c r="W56" i="1" s="1"/>
  <c r="N57" i="1"/>
  <c r="W57" i="1" s="1"/>
  <c r="N58" i="1"/>
  <c r="W58" i="1" s="1"/>
  <c r="N59" i="1"/>
  <c r="W59" i="1" s="1"/>
  <c r="N60" i="1"/>
  <c r="W60" i="1" s="1"/>
  <c r="N61" i="1"/>
  <c r="W61" i="1" s="1"/>
  <c r="N62" i="1"/>
  <c r="W62" i="1" s="1"/>
  <c r="N63" i="1"/>
  <c r="W63" i="1" s="1"/>
  <c r="N64" i="1"/>
  <c r="W64" i="1" s="1"/>
  <c r="N65" i="1"/>
  <c r="W65" i="1" s="1"/>
  <c r="N66" i="1"/>
  <c r="W66" i="1" s="1"/>
  <c r="N67" i="1"/>
  <c r="W67" i="1" s="1"/>
  <c r="N68" i="1"/>
  <c r="W68" i="1" s="1"/>
  <c r="N69" i="1"/>
  <c r="W69" i="1" s="1"/>
  <c r="N70" i="1"/>
  <c r="W70" i="1" s="1"/>
  <c r="N71" i="1"/>
  <c r="W71" i="1" s="1"/>
  <c r="N72" i="1"/>
  <c r="W72" i="1" s="1"/>
  <c r="N73" i="1"/>
  <c r="W73" i="1" s="1"/>
  <c r="N74" i="1"/>
  <c r="W74" i="1" s="1"/>
  <c r="N75" i="1"/>
  <c r="W75" i="1" s="1"/>
  <c r="N76" i="1"/>
  <c r="W76" i="1" s="1"/>
  <c r="N77" i="1"/>
  <c r="W77" i="1" s="1"/>
  <c r="N78" i="1"/>
  <c r="W78" i="1" s="1"/>
  <c r="N79" i="1"/>
  <c r="W79" i="1" s="1"/>
  <c r="N80" i="1"/>
  <c r="W80" i="1" s="1"/>
  <c r="N81" i="1"/>
  <c r="W81" i="1" s="1"/>
  <c r="N82" i="1"/>
  <c r="W82" i="1" s="1"/>
  <c r="N83" i="1"/>
  <c r="W83" i="1" s="1"/>
  <c r="N84" i="1"/>
  <c r="W84" i="1" s="1"/>
  <c r="N85" i="1"/>
  <c r="W85" i="1" s="1"/>
  <c r="N86" i="1"/>
  <c r="W86" i="1" s="1"/>
  <c r="N87" i="1"/>
  <c r="W87" i="1" s="1"/>
  <c r="N88" i="1"/>
  <c r="W88" i="1" s="1"/>
  <c r="N89" i="1"/>
  <c r="W89" i="1" s="1"/>
  <c r="N90" i="1"/>
  <c r="W90" i="1" s="1"/>
  <c r="N91" i="1"/>
  <c r="W91" i="1" s="1"/>
  <c r="N92" i="1"/>
  <c r="W92" i="1" s="1"/>
  <c r="N93" i="1"/>
  <c r="W93" i="1" s="1"/>
  <c r="N94" i="1"/>
  <c r="W94" i="1" s="1"/>
  <c r="N95" i="1"/>
  <c r="W95" i="1" s="1"/>
  <c r="N96" i="1"/>
  <c r="W96" i="1" s="1"/>
  <c r="N97" i="1"/>
  <c r="W97" i="1" s="1"/>
  <c r="N98" i="1"/>
  <c r="W98" i="1" s="1"/>
  <c r="N99" i="1"/>
  <c r="W99" i="1" s="1"/>
  <c r="N100" i="1"/>
  <c r="W100" i="1" s="1"/>
  <c r="N101" i="1"/>
  <c r="W101" i="1" s="1"/>
  <c r="N102" i="1"/>
  <c r="W102" i="1" s="1"/>
  <c r="N103" i="1"/>
  <c r="W103" i="1" s="1"/>
  <c r="N104" i="1"/>
  <c r="W104" i="1" s="1"/>
  <c r="N105" i="1"/>
  <c r="W105" i="1" s="1"/>
  <c r="N106" i="1"/>
  <c r="W106" i="1" s="1"/>
  <c r="N107" i="1"/>
  <c r="W107" i="1" s="1"/>
  <c r="N108" i="1"/>
  <c r="W108" i="1" s="1"/>
  <c r="N2" i="1"/>
  <c r="W2" i="1" s="1"/>
  <c r="M3" i="1"/>
  <c r="V3" i="1" s="1"/>
  <c r="M4" i="1"/>
  <c r="V4" i="1" s="1"/>
  <c r="M5" i="1"/>
  <c r="V5" i="1" s="1"/>
  <c r="M6" i="1"/>
  <c r="V6" i="1" s="1"/>
  <c r="M7" i="1"/>
  <c r="V7" i="1" s="1"/>
  <c r="M8" i="1"/>
  <c r="V8" i="1" s="1"/>
  <c r="M9" i="1"/>
  <c r="V9" i="1" s="1"/>
  <c r="M10" i="1"/>
  <c r="V10" i="1" s="1"/>
  <c r="M11" i="1"/>
  <c r="V11" i="1" s="1"/>
  <c r="M12" i="1"/>
  <c r="V12" i="1" s="1"/>
  <c r="M13" i="1"/>
  <c r="V13" i="1" s="1"/>
  <c r="M14" i="1"/>
  <c r="V14" i="1" s="1"/>
  <c r="M15" i="1"/>
  <c r="V15" i="1" s="1"/>
  <c r="M16" i="1"/>
  <c r="V16" i="1" s="1"/>
  <c r="M17" i="1"/>
  <c r="V17" i="1" s="1"/>
  <c r="M18" i="1"/>
  <c r="V18" i="1" s="1"/>
  <c r="M19" i="1"/>
  <c r="V19" i="1" s="1"/>
  <c r="M20" i="1"/>
  <c r="V20" i="1" s="1"/>
  <c r="M21" i="1"/>
  <c r="V21" i="1" s="1"/>
  <c r="M22" i="1"/>
  <c r="V22" i="1" s="1"/>
  <c r="M23" i="1"/>
  <c r="V23" i="1" s="1"/>
  <c r="M24" i="1"/>
  <c r="V24" i="1" s="1"/>
  <c r="M25" i="1"/>
  <c r="V25" i="1" s="1"/>
  <c r="M26" i="1"/>
  <c r="V26" i="1" s="1"/>
  <c r="M27" i="1"/>
  <c r="V27" i="1" s="1"/>
  <c r="M28" i="1"/>
  <c r="V28" i="1" s="1"/>
  <c r="M29" i="1"/>
  <c r="V29" i="1" s="1"/>
  <c r="M30" i="1"/>
  <c r="V30" i="1" s="1"/>
  <c r="M31" i="1"/>
  <c r="V31" i="1" s="1"/>
  <c r="M32" i="1"/>
  <c r="V32" i="1" s="1"/>
  <c r="M33" i="1"/>
  <c r="V33" i="1" s="1"/>
  <c r="M34" i="1"/>
  <c r="V34" i="1" s="1"/>
  <c r="M35" i="1"/>
  <c r="V35" i="1" s="1"/>
  <c r="M36" i="1"/>
  <c r="V36" i="1" s="1"/>
  <c r="M37" i="1"/>
  <c r="V37" i="1" s="1"/>
  <c r="M38" i="1"/>
  <c r="V38" i="1" s="1"/>
  <c r="M39" i="1"/>
  <c r="V39" i="1" s="1"/>
  <c r="M40" i="1"/>
  <c r="V40" i="1" s="1"/>
  <c r="M41" i="1"/>
  <c r="V41" i="1" s="1"/>
  <c r="M42" i="1"/>
  <c r="V42" i="1" s="1"/>
  <c r="M43" i="1"/>
  <c r="V43" i="1" s="1"/>
  <c r="M44" i="1"/>
  <c r="V44" i="1" s="1"/>
  <c r="M45" i="1"/>
  <c r="V45" i="1" s="1"/>
  <c r="M46" i="1"/>
  <c r="V46" i="1" s="1"/>
  <c r="M47" i="1"/>
  <c r="V47" i="1" s="1"/>
  <c r="M48" i="1"/>
  <c r="V48" i="1" s="1"/>
  <c r="M49" i="1"/>
  <c r="V49" i="1" s="1"/>
  <c r="M50" i="1"/>
  <c r="V50" i="1" s="1"/>
  <c r="M51" i="1"/>
  <c r="V51" i="1" s="1"/>
  <c r="M52" i="1"/>
  <c r="V52" i="1" s="1"/>
  <c r="M53" i="1"/>
  <c r="V53" i="1" s="1"/>
  <c r="M54" i="1"/>
  <c r="V54" i="1" s="1"/>
  <c r="M55" i="1"/>
  <c r="V55" i="1" s="1"/>
  <c r="M56" i="1"/>
  <c r="V56" i="1" s="1"/>
  <c r="M57" i="1"/>
  <c r="V57" i="1" s="1"/>
  <c r="M58" i="1"/>
  <c r="V58" i="1" s="1"/>
  <c r="M59" i="1"/>
  <c r="V59" i="1" s="1"/>
  <c r="M60" i="1"/>
  <c r="V60" i="1" s="1"/>
  <c r="M61" i="1"/>
  <c r="V61" i="1" s="1"/>
  <c r="M62" i="1"/>
  <c r="V62" i="1" s="1"/>
  <c r="M63" i="1"/>
  <c r="V63" i="1" s="1"/>
  <c r="M64" i="1"/>
  <c r="V64" i="1" s="1"/>
  <c r="M65" i="1"/>
  <c r="V65" i="1" s="1"/>
  <c r="M66" i="1"/>
  <c r="V66" i="1" s="1"/>
  <c r="M67" i="1"/>
  <c r="V67" i="1" s="1"/>
  <c r="M68" i="1"/>
  <c r="V68" i="1" s="1"/>
  <c r="M69" i="1"/>
  <c r="V69" i="1" s="1"/>
  <c r="M70" i="1"/>
  <c r="V70" i="1" s="1"/>
  <c r="M71" i="1"/>
  <c r="V71" i="1" s="1"/>
  <c r="M72" i="1"/>
  <c r="V72" i="1" s="1"/>
  <c r="M73" i="1"/>
  <c r="V73" i="1" s="1"/>
  <c r="M74" i="1"/>
  <c r="V74" i="1" s="1"/>
  <c r="M75" i="1"/>
  <c r="V75" i="1" s="1"/>
  <c r="M76" i="1"/>
  <c r="V76" i="1" s="1"/>
  <c r="M77" i="1"/>
  <c r="V77" i="1" s="1"/>
  <c r="M78" i="1"/>
  <c r="V78" i="1" s="1"/>
  <c r="M79" i="1"/>
  <c r="V79" i="1" s="1"/>
  <c r="M80" i="1"/>
  <c r="V80" i="1" s="1"/>
  <c r="M81" i="1"/>
  <c r="V81" i="1" s="1"/>
  <c r="M82" i="1"/>
  <c r="V82" i="1" s="1"/>
  <c r="M83" i="1"/>
  <c r="V83" i="1" s="1"/>
  <c r="M84" i="1"/>
  <c r="V84" i="1" s="1"/>
  <c r="M85" i="1"/>
  <c r="V85" i="1" s="1"/>
  <c r="M86" i="1"/>
  <c r="V86" i="1" s="1"/>
  <c r="M87" i="1"/>
  <c r="V87" i="1" s="1"/>
  <c r="M88" i="1"/>
  <c r="V88" i="1" s="1"/>
  <c r="M89" i="1"/>
  <c r="V89" i="1" s="1"/>
  <c r="M90" i="1"/>
  <c r="V90" i="1" s="1"/>
  <c r="M91" i="1"/>
  <c r="V91" i="1" s="1"/>
  <c r="M92" i="1"/>
  <c r="V92" i="1" s="1"/>
  <c r="M93" i="1"/>
  <c r="V93" i="1" s="1"/>
  <c r="M94" i="1"/>
  <c r="V94" i="1" s="1"/>
  <c r="M95" i="1"/>
  <c r="V95" i="1" s="1"/>
  <c r="M96" i="1"/>
  <c r="V96" i="1" s="1"/>
  <c r="M97" i="1"/>
  <c r="V97" i="1" s="1"/>
  <c r="M98" i="1"/>
  <c r="V98" i="1" s="1"/>
  <c r="M99" i="1"/>
  <c r="V99" i="1" s="1"/>
  <c r="M100" i="1"/>
  <c r="V100" i="1" s="1"/>
  <c r="M101" i="1"/>
  <c r="V101" i="1" s="1"/>
  <c r="M102" i="1"/>
  <c r="V102" i="1" s="1"/>
  <c r="M103" i="1"/>
  <c r="V103" i="1" s="1"/>
  <c r="M104" i="1"/>
  <c r="V104" i="1" s="1"/>
  <c r="M105" i="1"/>
  <c r="V105" i="1" s="1"/>
  <c r="M106" i="1"/>
  <c r="V106" i="1" s="1"/>
  <c r="M107" i="1"/>
  <c r="V107" i="1" s="1"/>
  <c r="M108" i="1"/>
  <c r="V108" i="1" s="1"/>
  <c r="M2" i="1"/>
  <c r="V2" i="1" s="1"/>
  <c r="L3" i="1"/>
  <c r="U3" i="1" s="1"/>
  <c r="L4" i="1"/>
  <c r="U4" i="1" s="1"/>
  <c r="L5" i="1"/>
  <c r="U5" i="1" s="1"/>
  <c r="L6" i="1"/>
  <c r="U6" i="1" s="1"/>
  <c r="L7" i="1"/>
  <c r="U7" i="1" s="1"/>
  <c r="L8" i="1"/>
  <c r="U8" i="1" s="1"/>
  <c r="L9" i="1"/>
  <c r="U9" i="1" s="1"/>
  <c r="L10" i="1"/>
  <c r="U10" i="1" s="1"/>
  <c r="L11" i="1"/>
  <c r="U11" i="1" s="1"/>
  <c r="L12" i="1"/>
  <c r="U12" i="1" s="1"/>
  <c r="L13" i="1"/>
  <c r="U13" i="1" s="1"/>
  <c r="L14" i="1"/>
  <c r="U14" i="1" s="1"/>
  <c r="L15" i="1"/>
  <c r="U15" i="1" s="1"/>
  <c r="L16" i="1"/>
  <c r="U16" i="1" s="1"/>
  <c r="L17" i="1"/>
  <c r="U17" i="1" s="1"/>
  <c r="L18" i="1"/>
  <c r="U18" i="1" s="1"/>
  <c r="L19" i="1"/>
  <c r="U19" i="1" s="1"/>
  <c r="L20" i="1"/>
  <c r="U20" i="1" s="1"/>
  <c r="L21" i="1"/>
  <c r="U21" i="1" s="1"/>
  <c r="L22" i="1"/>
  <c r="U22" i="1" s="1"/>
  <c r="L23" i="1"/>
  <c r="U23" i="1" s="1"/>
  <c r="L24" i="1"/>
  <c r="U24" i="1" s="1"/>
  <c r="L25" i="1"/>
  <c r="U25" i="1" s="1"/>
  <c r="L26" i="1"/>
  <c r="U26" i="1" s="1"/>
  <c r="L27" i="1"/>
  <c r="U27" i="1" s="1"/>
  <c r="L28" i="1"/>
  <c r="U28" i="1" s="1"/>
  <c r="L29" i="1"/>
  <c r="U29" i="1" s="1"/>
  <c r="L30" i="1"/>
  <c r="U30" i="1" s="1"/>
  <c r="L31" i="1"/>
  <c r="U31" i="1" s="1"/>
  <c r="L32" i="1"/>
  <c r="U32" i="1" s="1"/>
  <c r="L33" i="1"/>
  <c r="U33" i="1" s="1"/>
  <c r="L34" i="1"/>
  <c r="U34" i="1" s="1"/>
  <c r="L35" i="1"/>
  <c r="U35" i="1" s="1"/>
  <c r="L36" i="1"/>
  <c r="U36" i="1" s="1"/>
  <c r="L37" i="1"/>
  <c r="U37" i="1" s="1"/>
  <c r="L38" i="1"/>
  <c r="U38" i="1" s="1"/>
  <c r="L39" i="1"/>
  <c r="U39" i="1" s="1"/>
  <c r="L40" i="1"/>
  <c r="U40" i="1" s="1"/>
  <c r="L41" i="1"/>
  <c r="U41" i="1" s="1"/>
  <c r="L42" i="1"/>
  <c r="U42" i="1" s="1"/>
  <c r="L43" i="1"/>
  <c r="U43" i="1" s="1"/>
  <c r="L44" i="1"/>
  <c r="U44" i="1" s="1"/>
  <c r="L45" i="1"/>
  <c r="U45" i="1" s="1"/>
  <c r="L46" i="1"/>
  <c r="U46" i="1" s="1"/>
  <c r="L47" i="1"/>
  <c r="U47" i="1" s="1"/>
  <c r="L48" i="1"/>
  <c r="U48" i="1" s="1"/>
  <c r="L49" i="1"/>
  <c r="U49" i="1" s="1"/>
  <c r="L50" i="1"/>
  <c r="U50" i="1" s="1"/>
  <c r="L51" i="1"/>
  <c r="U51" i="1" s="1"/>
  <c r="L52" i="1"/>
  <c r="U52" i="1" s="1"/>
  <c r="L53" i="1"/>
  <c r="U53" i="1" s="1"/>
  <c r="L54" i="1"/>
  <c r="U54" i="1" s="1"/>
  <c r="L55" i="1"/>
  <c r="U55" i="1" s="1"/>
  <c r="L56" i="1"/>
  <c r="U56" i="1" s="1"/>
  <c r="L57" i="1"/>
  <c r="U57" i="1" s="1"/>
  <c r="L58" i="1"/>
  <c r="U58" i="1" s="1"/>
  <c r="L59" i="1"/>
  <c r="U59" i="1" s="1"/>
  <c r="L60" i="1"/>
  <c r="U60" i="1" s="1"/>
  <c r="L61" i="1"/>
  <c r="U61" i="1" s="1"/>
  <c r="L62" i="1"/>
  <c r="U62" i="1" s="1"/>
  <c r="L63" i="1"/>
  <c r="U63" i="1" s="1"/>
  <c r="L64" i="1"/>
  <c r="U64" i="1" s="1"/>
  <c r="L65" i="1"/>
  <c r="U65" i="1" s="1"/>
  <c r="L66" i="1"/>
  <c r="U66" i="1" s="1"/>
  <c r="L67" i="1"/>
  <c r="U67" i="1" s="1"/>
  <c r="L68" i="1"/>
  <c r="U68" i="1" s="1"/>
  <c r="L69" i="1"/>
  <c r="U69" i="1" s="1"/>
  <c r="L70" i="1"/>
  <c r="U70" i="1" s="1"/>
  <c r="L71" i="1"/>
  <c r="U71" i="1" s="1"/>
  <c r="L72" i="1"/>
  <c r="U72" i="1" s="1"/>
  <c r="L73" i="1"/>
  <c r="U73" i="1" s="1"/>
  <c r="L74" i="1"/>
  <c r="U74" i="1" s="1"/>
  <c r="L75" i="1"/>
  <c r="U75" i="1" s="1"/>
  <c r="L76" i="1"/>
  <c r="U76" i="1" s="1"/>
  <c r="L77" i="1"/>
  <c r="U77" i="1" s="1"/>
  <c r="L78" i="1"/>
  <c r="U78" i="1" s="1"/>
  <c r="L79" i="1"/>
  <c r="U79" i="1" s="1"/>
  <c r="L80" i="1"/>
  <c r="U80" i="1" s="1"/>
  <c r="L81" i="1"/>
  <c r="U81" i="1" s="1"/>
  <c r="L82" i="1"/>
  <c r="U82" i="1" s="1"/>
  <c r="L83" i="1"/>
  <c r="U83" i="1" s="1"/>
  <c r="L84" i="1"/>
  <c r="U84" i="1" s="1"/>
  <c r="L85" i="1"/>
  <c r="U85" i="1" s="1"/>
  <c r="L86" i="1"/>
  <c r="U86" i="1" s="1"/>
  <c r="L87" i="1"/>
  <c r="U87" i="1" s="1"/>
  <c r="L88" i="1"/>
  <c r="U88" i="1" s="1"/>
  <c r="L89" i="1"/>
  <c r="U89" i="1" s="1"/>
  <c r="L90" i="1"/>
  <c r="U90" i="1" s="1"/>
  <c r="L91" i="1"/>
  <c r="U91" i="1" s="1"/>
  <c r="L92" i="1"/>
  <c r="U92" i="1" s="1"/>
  <c r="L93" i="1"/>
  <c r="U93" i="1" s="1"/>
  <c r="L94" i="1"/>
  <c r="U94" i="1" s="1"/>
  <c r="L95" i="1"/>
  <c r="U95" i="1" s="1"/>
  <c r="L96" i="1"/>
  <c r="U96" i="1" s="1"/>
  <c r="L97" i="1"/>
  <c r="U97" i="1" s="1"/>
  <c r="L98" i="1"/>
  <c r="U98" i="1" s="1"/>
  <c r="L99" i="1"/>
  <c r="U99" i="1" s="1"/>
  <c r="L100" i="1"/>
  <c r="U100" i="1" s="1"/>
  <c r="L101" i="1"/>
  <c r="U101" i="1" s="1"/>
  <c r="L102" i="1"/>
  <c r="U102" i="1" s="1"/>
  <c r="L103" i="1"/>
  <c r="U103" i="1" s="1"/>
  <c r="L104" i="1"/>
  <c r="U104" i="1" s="1"/>
  <c r="L105" i="1"/>
  <c r="U105" i="1" s="1"/>
  <c r="L106" i="1"/>
  <c r="U106" i="1" s="1"/>
  <c r="L107" i="1"/>
  <c r="U107" i="1" s="1"/>
  <c r="L108" i="1"/>
  <c r="U108" i="1" s="1"/>
  <c r="L2" i="1"/>
  <c r="U2" i="1" s="1"/>
  <c r="K3" i="1"/>
  <c r="T3" i="1" s="1"/>
  <c r="K4" i="1"/>
  <c r="T4" i="1" s="1"/>
  <c r="K5" i="1"/>
  <c r="T5" i="1" s="1"/>
  <c r="K6" i="1"/>
  <c r="T6" i="1" s="1"/>
  <c r="K7" i="1"/>
  <c r="T7" i="1" s="1"/>
  <c r="K8" i="1"/>
  <c r="T8" i="1" s="1"/>
  <c r="K9" i="1"/>
  <c r="T9" i="1" s="1"/>
  <c r="K10" i="1"/>
  <c r="T10" i="1" s="1"/>
  <c r="K11" i="1"/>
  <c r="T11" i="1" s="1"/>
  <c r="K12" i="1"/>
  <c r="T12" i="1" s="1"/>
  <c r="K13" i="1"/>
  <c r="T13" i="1" s="1"/>
  <c r="K14" i="1"/>
  <c r="T14" i="1" s="1"/>
  <c r="K15" i="1"/>
  <c r="T15" i="1" s="1"/>
  <c r="K16" i="1"/>
  <c r="T16" i="1" s="1"/>
  <c r="K17" i="1"/>
  <c r="T17" i="1" s="1"/>
  <c r="K18" i="1"/>
  <c r="T18" i="1" s="1"/>
  <c r="K19" i="1"/>
  <c r="T19" i="1" s="1"/>
  <c r="K20" i="1"/>
  <c r="T20" i="1" s="1"/>
  <c r="K21" i="1"/>
  <c r="T21" i="1" s="1"/>
  <c r="K22" i="1"/>
  <c r="T22" i="1" s="1"/>
  <c r="K23" i="1"/>
  <c r="T23" i="1" s="1"/>
  <c r="K24" i="1"/>
  <c r="T24" i="1" s="1"/>
  <c r="K25" i="1"/>
  <c r="T25" i="1" s="1"/>
  <c r="K26" i="1"/>
  <c r="T26" i="1" s="1"/>
  <c r="K27" i="1"/>
  <c r="T27" i="1" s="1"/>
  <c r="K28" i="1"/>
  <c r="T28" i="1" s="1"/>
  <c r="K29" i="1"/>
  <c r="T29" i="1" s="1"/>
  <c r="K30" i="1"/>
  <c r="T30" i="1" s="1"/>
  <c r="K31" i="1"/>
  <c r="T31" i="1" s="1"/>
  <c r="K32" i="1"/>
  <c r="T32" i="1" s="1"/>
  <c r="K33" i="1"/>
  <c r="T33" i="1" s="1"/>
  <c r="K34" i="1"/>
  <c r="T34" i="1" s="1"/>
  <c r="K35" i="1"/>
  <c r="T35" i="1" s="1"/>
  <c r="K36" i="1"/>
  <c r="T36" i="1" s="1"/>
  <c r="K37" i="1"/>
  <c r="T37" i="1" s="1"/>
  <c r="K38" i="1"/>
  <c r="T38" i="1" s="1"/>
  <c r="K39" i="1"/>
  <c r="T39" i="1" s="1"/>
  <c r="K40" i="1"/>
  <c r="T40" i="1" s="1"/>
  <c r="K41" i="1"/>
  <c r="T41" i="1" s="1"/>
  <c r="K42" i="1"/>
  <c r="T42" i="1" s="1"/>
  <c r="K43" i="1"/>
  <c r="T43" i="1" s="1"/>
  <c r="K44" i="1"/>
  <c r="T44" i="1" s="1"/>
  <c r="K45" i="1"/>
  <c r="T45" i="1" s="1"/>
  <c r="K46" i="1"/>
  <c r="T46" i="1" s="1"/>
  <c r="K47" i="1"/>
  <c r="T47" i="1" s="1"/>
  <c r="K48" i="1"/>
  <c r="T48" i="1" s="1"/>
  <c r="K49" i="1"/>
  <c r="T49" i="1" s="1"/>
  <c r="K50" i="1"/>
  <c r="T50" i="1" s="1"/>
  <c r="K51" i="1"/>
  <c r="T51" i="1" s="1"/>
  <c r="K52" i="1"/>
  <c r="T52" i="1" s="1"/>
  <c r="K53" i="1"/>
  <c r="T53" i="1" s="1"/>
  <c r="K54" i="1"/>
  <c r="T54" i="1" s="1"/>
  <c r="K55" i="1"/>
  <c r="T55" i="1" s="1"/>
  <c r="K56" i="1"/>
  <c r="T56" i="1" s="1"/>
  <c r="K57" i="1"/>
  <c r="T57" i="1" s="1"/>
  <c r="K58" i="1"/>
  <c r="T58" i="1" s="1"/>
  <c r="K59" i="1"/>
  <c r="T59" i="1" s="1"/>
  <c r="K60" i="1"/>
  <c r="T60" i="1" s="1"/>
  <c r="K61" i="1"/>
  <c r="T61" i="1" s="1"/>
  <c r="K62" i="1"/>
  <c r="T62" i="1" s="1"/>
  <c r="K63" i="1"/>
  <c r="T63" i="1" s="1"/>
  <c r="K64" i="1"/>
  <c r="T64" i="1" s="1"/>
  <c r="K65" i="1"/>
  <c r="T65" i="1" s="1"/>
  <c r="K66" i="1"/>
  <c r="T66" i="1" s="1"/>
  <c r="K67" i="1"/>
  <c r="T67" i="1" s="1"/>
  <c r="K68" i="1"/>
  <c r="T68" i="1" s="1"/>
  <c r="K69" i="1"/>
  <c r="T69" i="1" s="1"/>
  <c r="K70" i="1"/>
  <c r="T70" i="1" s="1"/>
  <c r="K71" i="1"/>
  <c r="T71" i="1" s="1"/>
  <c r="K72" i="1"/>
  <c r="T72" i="1" s="1"/>
  <c r="K73" i="1"/>
  <c r="T73" i="1" s="1"/>
  <c r="K74" i="1"/>
  <c r="T74" i="1" s="1"/>
  <c r="K75" i="1"/>
  <c r="T75" i="1" s="1"/>
  <c r="K76" i="1"/>
  <c r="T76" i="1" s="1"/>
  <c r="K77" i="1"/>
  <c r="T77" i="1" s="1"/>
  <c r="K78" i="1"/>
  <c r="T78" i="1" s="1"/>
  <c r="K79" i="1"/>
  <c r="T79" i="1" s="1"/>
  <c r="K80" i="1"/>
  <c r="T80" i="1" s="1"/>
  <c r="K81" i="1"/>
  <c r="T81" i="1" s="1"/>
  <c r="K82" i="1"/>
  <c r="T82" i="1" s="1"/>
  <c r="K83" i="1"/>
  <c r="T83" i="1" s="1"/>
  <c r="K84" i="1"/>
  <c r="T84" i="1" s="1"/>
  <c r="K85" i="1"/>
  <c r="T85" i="1" s="1"/>
  <c r="K86" i="1"/>
  <c r="T86" i="1" s="1"/>
  <c r="K87" i="1"/>
  <c r="T87" i="1" s="1"/>
  <c r="K88" i="1"/>
  <c r="T88" i="1" s="1"/>
  <c r="K89" i="1"/>
  <c r="T89" i="1" s="1"/>
  <c r="K90" i="1"/>
  <c r="T90" i="1" s="1"/>
  <c r="K91" i="1"/>
  <c r="T91" i="1" s="1"/>
  <c r="K92" i="1"/>
  <c r="T92" i="1" s="1"/>
  <c r="K93" i="1"/>
  <c r="T93" i="1" s="1"/>
  <c r="K94" i="1"/>
  <c r="T94" i="1" s="1"/>
  <c r="K95" i="1"/>
  <c r="T95" i="1" s="1"/>
  <c r="K96" i="1"/>
  <c r="T96" i="1" s="1"/>
  <c r="K97" i="1"/>
  <c r="T97" i="1" s="1"/>
  <c r="K98" i="1"/>
  <c r="T98" i="1" s="1"/>
  <c r="K99" i="1"/>
  <c r="T99" i="1" s="1"/>
  <c r="K100" i="1"/>
  <c r="T100" i="1" s="1"/>
  <c r="K101" i="1"/>
  <c r="T101" i="1" s="1"/>
  <c r="K102" i="1"/>
  <c r="T102" i="1" s="1"/>
  <c r="K103" i="1"/>
  <c r="T103" i="1" s="1"/>
  <c r="K104" i="1"/>
  <c r="T104" i="1" s="1"/>
  <c r="K105" i="1"/>
  <c r="T105" i="1" s="1"/>
  <c r="K106" i="1"/>
  <c r="T106" i="1" s="1"/>
  <c r="K107" i="1"/>
  <c r="T107" i="1" s="1"/>
  <c r="K108" i="1"/>
  <c r="T108" i="1" s="1"/>
  <c r="K2" i="1"/>
  <c r="T2" i="1" s="1"/>
  <c r="J3" i="1"/>
  <c r="S3" i="1" s="1"/>
  <c r="J4" i="1"/>
  <c r="S4" i="1" s="1"/>
  <c r="J5" i="1"/>
  <c r="S5" i="1" s="1"/>
  <c r="J6" i="1"/>
  <c r="S6" i="1" s="1"/>
  <c r="J7" i="1"/>
  <c r="S7" i="1" s="1"/>
  <c r="J8" i="1"/>
  <c r="S8" i="1" s="1"/>
  <c r="J9" i="1"/>
  <c r="S9" i="1" s="1"/>
  <c r="J10" i="1"/>
  <c r="S10" i="1" s="1"/>
  <c r="J11" i="1"/>
  <c r="S11" i="1" s="1"/>
  <c r="J12" i="1"/>
  <c r="S12" i="1" s="1"/>
  <c r="J13" i="1"/>
  <c r="S13" i="1" s="1"/>
  <c r="J14" i="1"/>
  <c r="S14" i="1" s="1"/>
  <c r="J15" i="1"/>
  <c r="S15" i="1" s="1"/>
  <c r="J16" i="1"/>
  <c r="S16" i="1" s="1"/>
  <c r="J17" i="1"/>
  <c r="S17" i="1" s="1"/>
  <c r="J18" i="1"/>
  <c r="S18" i="1" s="1"/>
  <c r="J19" i="1"/>
  <c r="S19" i="1" s="1"/>
  <c r="J20" i="1"/>
  <c r="S20" i="1" s="1"/>
  <c r="J21" i="1"/>
  <c r="S21" i="1" s="1"/>
  <c r="J22" i="1"/>
  <c r="S22" i="1" s="1"/>
  <c r="J23" i="1"/>
  <c r="S23" i="1" s="1"/>
  <c r="J24" i="1"/>
  <c r="S24" i="1" s="1"/>
  <c r="J25" i="1"/>
  <c r="S25" i="1" s="1"/>
  <c r="J26" i="1"/>
  <c r="S26" i="1" s="1"/>
  <c r="J27" i="1"/>
  <c r="S27" i="1" s="1"/>
  <c r="J28" i="1"/>
  <c r="S28" i="1" s="1"/>
  <c r="J29" i="1"/>
  <c r="S29" i="1" s="1"/>
  <c r="J30" i="1"/>
  <c r="S30" i="1" s="1"/>
  <c r="J31" i="1"/>
  <c r="S31" i="1" s="1"/>
  <c r="J32" i="1"/>
  <c r="S32" i="1" s="1"/>
  <c r="J33" i="1"/>
  <c r="S33" i="1" s="1"/>
  <c r="J34" i="1"/>
  <c r="S34" i="1" s="1"/>
  <c r="J35" i="1"/>
  <c r="S35" i="1" s="1"/>
  <c r="J36" i="1"/>
  <c r="S36" i="1" s="1"/>
  <c r="J37" i="1"/>
  <c r="S37" i="1" s="1"/>
  <c r="J38" i="1"/>
  <c r="S38" i="1" s="1"/>
  <c r="J39" i="1"/>
  <c r="S39" i="1" s="1"/>
  <c r="J40" i="1"/>
  <c r="S40" i="1" s="1"/>
  <c r="J41" i="1"/>
  <c r="S41" i="1" s="1"/>
  <c r="J42" i="1"/>
  <c r="S42" i="1" s="1"/>
  <c r="J43" i="1"/>
  <c r="S43" i="1" s="1"/>
  <c r="J44" i="1"/>
  <c r="S44" i="1" s="1"/>
  <c r="J45" i="1"/>
  <c r="S45" i="1" s="1"/>
  <c r="J46" i="1"/>
  <c r="S46" i="1" s="1"/>
  <c r="J47" i="1"/>
  <c r="S47" i="1" s="1"/>
  <c r="J48" i="1"/>
  <c r="S48" i="1" s="1"/>
  <c r="J49" i="1"/>
  <c r="S49" i="1" s="1"/>
  <c r="J50" i="1"/>
  <c r="S50" i="1" s="1"/>
  <c r="J51" i="1"/>
  <c r="S51" i="1" s="1"/>
  <c r="J52" i="1"/>
  <c r="S52" i="1" s="1"/>
  <c r="J53" i="1"/>
  <c r="S53" i="1" s="1"/>
  <c r="J54" i="1"/>
  <c r="S54" i="1" s="1"/>
  <c r="J55" i="1"/>
  <c r="S55" i="1" s="1"/>
  <c r="J56" i="1"/>
  <c r="S56" i="1" s="1"/>
  <c r="J57" i="1"/>
  <c r="S57" i="1" s="1"/>
  <c r="J58" i="1"/>
  <c r="S58" i="1" s="1"/>
  <c r="J59" i="1"/>
  <c r="S59" i="1" s="1"/>
  <c r="J60" i="1"/>
  <c r="S60" i="1" s="1"/>
  <c r="J61" i="1"/>
  <c r="S61" i="1" s="1"/>
  <c r="J62" i="1"/>
  <c r="S62" i="1" s="1"/>
  <c r="J63" i="1"/>
  <c r="S63" i="1" s="1"/>
  <c r="J64" i="1"/>
  <c r="S64" i="1" s="1"/>
  <c r="J65" i="1"/>
  <c r="S65" i="1" s="1"/>
  <c r="J66" i="1"/>
  <c r="S66" i="1" s="1"/>
  <c r="J67" i="1"/>
  <c r="S67" i="1" s="1"/>
  <c r="J68" i="1"/>
  <c r="S68" i="1" s="1"/>
  <c r="J69" i="1"/>
  <c r="S69" i="1" s="1"/>
  <c r="J70" i="1"/>
  <c r="S70" i="1" s="1"/>
  <c r="J71" i="1"/>
  <c r="S71" i="1" s="1"/>
  <c r="J72" i="1"/>
  <c r="S72" i="1" s="1"/>
  <c r="J73" i="1"/>
  <c r="S73" i="1" s="1"/>
  <c r="J74" i="1"/>
  <c r="S74" i="1" s="1"/>
  <c r="J75" i="1"/>
  <c r="S75" i="1" s="1"/>
  <c r="J76" i="1"/>
  <c r="S76" i="1" s="1"/>
  <c r="J77" i="1"/>
  <c r="S77" i="1" s="1"/>
  <c r="J78" i="1"/>
  <c r="S78" i="1" s="1"/>
  <c r="J79" i="1"/>
  <c r="S79" i="1" s="1"/>
  <c r="J80" i="1"/>
  <c r="S80" i="1" s="1"/>
  <c r="J81" i="1"/>
  <c r="S81" i="1" s="1"/>
  <c r="J82" i="1"/>
  <c r="S82" i="1" s="1"/>
  <c r="J83" i="1"/>
  <c r="S83" i="1" s="1"/>
  <c r="J84" i="1"/>
  <c r="S84" i="1" s="1"/>
  <c r="J85" i="1"/>
  <c r="S85" i="1" s="1"/>
  <c r="J86" i="1"/>
  <c r="S86" i="1" s="1"/>
  <c r="J87" i="1"/>
  <c r="S87" i="1" s="1"/>
  <c r="J88" i="1"/>
  <c r="S88" i="1" s="1"/>
  <c r="J89" i="1"/>
  <c r="S89" i="1" s="1"/>
  <c r="J90" i="1"/>
  <c r="S90" i="1" s="1"/>
  <c r="J91" i="1"/>
  <c r="S91" i="1" s="1"/>
  <c r="J92" i="1"/>
  <c r="S92" i="1" s="1"/>
  <c r="J93" i="1"/>
  <c r="S93" i="1" s="1"/>
  <c r="J94" i="1"/>
  <c r="S94" i="1" s="1"/>
  <c r="J95" i="1"/>
  <c r="S95" i="1" s="1"/>
  <c r="J96" i="1"/>
  <c r="S96" i="1" s="1"/>
  <c r="J97" i="1"/>
  <c r="S97" i="1" s="1"/>
  <c r="J98" i="1"/>
  <c r="S98" i="1" s="1"/>
  <c r="J99" i="1"/>
  <c r="S99" i="1" s="1"/>
  <c r="J100" i="1"/>
  <c r="S100" i="1" s="1"/>
  <c r="J101" i="1"/>
  <c r="S101" i="1" s="1"/>
  <c r="J102" i="1"/>
  <c r="S102" i="1" s="1"/>
  <c r="J103" i="1"/>
  <c r="S103" i="1" s="1"/>
  <c r="J104" i="1"/>
  <c r="S104" i="1" s="1"/>
  <c r="J105" i="1"/>
  <c r="S105" i="1" s="1"/>
  <c r="J106" i="1"/>
  <c r="S106" i="1" s="1"/>
  <c r="J107" i="1"/>
  <c r="S107" i="1" s="1"/>
  <c r="J108" i="1"/>
  <c r="S108" i="1" s="1"/>
  <c r="J2" i="1"/>
  <c r="S2" i="1" s="1"/>
</calcChain>
</file>

<file path=xl/sharedStrings.xml><?xml version="1.0" encoding="utf-8"?>
<sst xmlns="http://schemas.openxmlformats.org/spreadsheetml/2006/main" count="1552" uniqueCount="35">
  <si>
    <t>NeuronId</t>
  </si>
  <si>
    <t>x</t>
  </si>
  <si>
    <t>y</t>
  </si>
  <si>
    <t>z</t>
  </si>
  <si>
    <t>SynType</t>
  </si>
  <si>
    <t>cb1</t>
  </si>
  <si>
    <t>cb2</t>
  </si>
  <si>
    <t>soma_x</t>
  </si>
  <si>
    <t>soma_y</t>
  </si>
  <si>
    <t>soma_z</t>
  </si>
  <si>
    <t>cb3</t>
  </si>
  <si>
    <t>cr1</t>
  </si>
  <si>
    <t>cr2</t>
  </si>
  <si>
    <t>cr3</t>
  </si>
  <si>
    <t>pv1</t>
  </si>
  <si>
    <t>pv2</t>
  </si>
  <si>
    <t>pv3</t>
  </si>
  <si>
    <t>SynId</t>
  </si>
  <si>
    <t>as</t>
  </si>
  <si>
    <t>ss</t>
  </si>
  <si>
    <t>corr_x</t>
  </si>
  <si>
    <t>corr_y</t>
  </si>
  <si>
    <t>corr_z</t>
  </si>
  <si>
    <t>corr_soma_x</t>
  </si>
  <si>
    <t>corr_soma_y</t>
  </si>
  <si>
    <t>corr_soma_z</t>
  </si>
  <si>
    <t>SynArea</t>
  </si>
  <si>
    <t>BoutonArea</t>
  </si>
  <si>
    <t>BoutonVolume</t>
  </si>
  <si>
    <t>corr_z_micron</t>
  </si>
  <si>
    <t>corr_x_micron</t>
  </si>
  <si>
    <t>corr_y_micron</t>
  </si>
  <si>
    <t>corr_soma_x_micron</t>
  </si>
  <si>
    <t>corr_soma_y_micron</t>
  </si>
  <si>
    <t>corr_soma_z_micron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</si>
</sst>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2" fillId="0" borderId="0" xfId="0" applyNumberFormat="1" applyFont="1"/>
    <xf numFmtId="2" fontId="0" fillId="0" borderId="0" xfId="0" applyNumberFormat="1"/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left"/>
    </xf>
    <xf numFmtId="1" fontId="0" fillId="0" borderId="0" xfId="0" applyNumberFormat="1"/>
    <xf numFmtId="49" fontId="0" fillId="0" borderId="0" xfId="0" applyNumberFormat="1"/>
    <xf numFmtId="165" fontId="0" fillId="0" borderId="0" xfId="0" applyNumberFormat="1" applyAlignment="1">
      <alignment horizontal="center" vertical="center"/>
    </xf>
  </cellXfs>
  <cellStyles count="1">
    <cellStyle name="Standard" xfId="0" builtinId="0"/>
  </cellStyles>
  <dxfs count="24">
    <dxf>
      <numFmt numFmtId="165" formatCode="0.0000"/>
      <alignment horizontal="center" vertical="center" textRotation="0" wrapText="0" indent="0" justifyLastLine="0" shrinkToFit="0" readingOrder="0"/>
    </dxf>
    <dxf>
      <numFmt numFmtId="165" formatCode="0.0000"/>
      <alignment horizontal="center" vertical="center" textRotation="0" wrapText="0" indent="0" justifyLastLine="0" shrinkToFit="0" readingOrder="0"/>
    </dxf>
    <dxf>
      <numFmt numFmtId="165" formatCode="0.0000"/>
      <alignment horizontal="center" vertical="center" textRotation="0" wrapText="0" indent="0" justifyLastLine="0" shrinkToFit="0" readingOrder="0"/>
    </dxf>
    <dxf>
      <numFmt numFmtId="165" formatCode="0.0000"/>
      <alignment horizontal="center" vertical="center" textRotation="0" wrapText="0" indent="0" justifyLastLine="0" shrinkToFit="0" readingOrder="0"/>
    </dxf>
    <dxf>
      <numFmt numFmtId="165" formatCode="0.0000"/>
      <alignment horizontal="center" vertical="center" textRotation="0" wrapText="0" indent="0" justifyLastLine="0" shrinkToFit="0" readingOrder="0"/>
    </dxf>
    <dxf>
      <numFmt numFmtId="165" formatCode="0.0000"/>
      <alignment horizontal="center" vertical="center" textRotation="0" wrapText="0" indent="0" justifyLastLine="0" shrinkToFit="0" readingOrder="0"/>
    </dxf>
    <dxf>
      <numFmt numFmtId="165" formatCode="0.0000"/>
      <alignment horizontal="center" vertical="center" textRotation="0" wrapText="0" indent="0" justifyLastLine="0" shrinkToFit="0" readingOrder="0"/>
    </dxf>
    <dxf>
      <numFmt numFmtId="165" formatCode="0.0000"/>
      <alignment horizontal="center" vertical="center" textRotation="0" wrapText="0" indent="0" justifyLastLine="0" shrinkToFit="0" readingOrder="0"/>
    </dxf>
    <dxf>
      <numFmt numFmtId="165" formatCode="0.0000"/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C4699-45E4-4E95-BA34-4686CC0DFDCD}" name="Tabelle1" displayName="Tabelle1" ref="A1:X780" totalsRowShown="0">
  <autoFilter ref="A1:X780" xr:uid="{26EC4699-45E4-4E95-BA34-4686CC0DFDCD}"/>
  <tableColumns count="24">
    <tableColumn id="1" xr3:uid="{7EF93FB7-7276-4A46-BE49-A3D1D70AE5A8}" name="NeuronId" dataDxfId="23"/>
    <tableColumn id="2" xr3:uid="{DC9D76B3-EEAC-4A46-8146-080C8FC22D9C}" name="SynType" dataDxfId="22"/>
    <tableColumn id="3" xr3:uid="{B0E85006-A85C-49B7-B5BA-898E8E529F30}" name="SynId" dataDxfId="21"/>
    <tableColumn id="4" xr3:uid="{D6C936CA-C967-4E8A-9C96-737B50922FD9}" name="x" dataDxfId="20"/>
    <tableColumn id="5" xr3:uid="{5AF66DFA-B158-4869-8B93-2E046A63E29A}" name="y" dataDxfId="19"/>
    <tableColumn id="6" xr3:uid="{DF2E702B-77C7-47C0-A2F2-278C57A34803}" name="z" dataDxfId="18"/>
    <tableColumn id="7" xr3:uid="{240EDCFA-1C5E-4FBC-AA41-696C7A1B3582}" name="soma_x" dataDxfId="17"/>
    <tableColumn id="8" xr3:uid="{E7E7EB54-5AA5-4C4E-96DB-A33D535AEE97}" name="soma_y" dataDxfId="16"/>
    <tableColumn id="9" xr3:uid="{535DF664-EDF5-4B35-BF9D-46E2F98E769F}" name="soma_z" dataDxfId="15"/>
    <tableColumn id="10" xr3:uid="{CD33BDED-9AC2-4D48-85C7-9EC5266B93B9}" name="corr_x" dataDxfId="14"/>
    <tableColumn id="11" xr3:uid="{E9BEC0EF-4493-4261-A571-1DE1C3DF1C80}" name="corr_y" dataDxfId="13"/>
    <tableColumn id="12" xr3:uid="{32A420CD-533F-41D6-B6EC-C1489880C557}" name="corr_z" dataDxfId="12"/>
    <tableColumn id="13" xr3:uid="{747374B5-1C9A-45EC-A3A1-C86F012B6629}" name="corr_soma_x" dataDxfId="11"/>
    <tableColumn id="14" xr3:uid="{70D44FB0-22EF-4E96-BA88-B77ED6C56798}" name="corr_soma_y" dataDxfId="10"/>
    <tableColumn id="15" xr3:uid="{F41D00F1-A9C7-48F4-B77B-449F483FF109}" name="corr_soma_z" dataDxfId="9"/>
    <tableColumn id="16" xr3:uid="{514535EF-5A71-4373-A7B0-949BCE720206}" name="SynArea" dataDxfId="8"/>
    <tableColumn id="17" xr3:uid="{2DBFDF9A-E4A2-4975-A12C-248A6F39032D}" name="BoutonArea" dataDxfId="7"/>
    <tableColumn id="18" xr3:uid="{C1990717-EE5F-4494-9610-1BDD30F1BC44}" name="BoutonVolume" dataDxfId="6"/>
    <tableColumn id="19" xr3:uid="{4C2213CF-CE26-4639-A504-C4D66F9EFF92}" name="corr_x_micron" dataDxfId="5">
      <calculatedColumnFormula>Tabelle1[[#This Row],[corr_x]]/1000</calculatedColumnFormula>
    </tableColumn>
    <tableColumn id="20" xr3:uid="{2E79A9ED-28A4-472C-8558-E98B66DA2B5C}" name="corr_y_micron" dataDxfId="4">
      <calculatedColumnFormula>Tabelle1[[#This Row],[corr_y]]/1000</calculatedColumnFormula>
    </tableColumn>
    <tableColumn id="21" xr3:uid="{18E6F131-6AF6-4DEC-AAEB-1868D2C17425}" name="corr_z_micron" dataDxfId="3">
      <calculatedColumnFormula>Tabelle1[[#This Row],[corr_z]]/1000</calculatedColumnFormula>
    </tableColumn>
    <tableColumn id="22" xr3:uid="{65B8E71E-CD1E-452A-B1A8-7FA125AEAF38}" name="corr_soma_x_micron" dataDxfId="2">
      <calculatedColumnFormula>Tabelle1[[#This Row],[corr_soma_x]]/1000</calculatedColumnFormula>
    </tableColumn>
    <tableColumn id="23" xr3:uid="{D9464704-5650-42D2-A7DA-73E4A8179BB3}" name="corr_soma_y_micron" dataDxfId="1">
      <calculatedColumnFormula>Tabelle1[[#This Row],[corr_soma_y]]/1000</calculatedColumnFormula>
    </tableColumn>
    <tableColumn id="24" xr3:uid="{D9A1AC1B-265A-4D9A-A806-DD48C08E8418}" name="corr_soma_z_micron" dataDxfId="0">
      <calculatedColumnFormula>Tabelle1[[#This Row],[corr_soma_z]]/1000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1F2F-EFD5-46FF-9019-58B09BBA8683}">
  <dimension ref="A1:X780"/>
  <sheetViews>
    <sheetView tabSelected="1" workbookViewId="0">
      <selection activeCell="R12" sqref="R12"/>
    </sheetView>
  </sheetViews>
  <sheetFormatPr baseColWidth="10" defaultRowHeight="14.5" x14ac:dyDescent="0.35"/>
  <cols>
    <col min="1" max="1" width="10.81640625" customWidth="1"/>
    <col min="12" max="12" width="8.36328125" bestFit="1" customWidth="1"/>
    <col min="13" max="15" width="13.54296875" customWidth="1"/>
    <col min="16" max="16" width="11.36328125" style="8" bestFit="1" customWidth="1"/>
    <col min="17" max="17" width="13.26953125" style="8" bestFit="1" customWidth="1"/>
    <col min="18" max="18" width="16" style="8" bestFit="1" customWidth="1"/>
    <col min="19" max="20" width="20.90625" style="8" bestFit="1" customWidth="1"/>
    <col min="21" max="21" width="15.1796875" style="8" bestFit="1" customWidth="1"/>
    <col min="22" max="23" width="20.90625" style="8" bestFit="1" customWidth="1"/>
    <col min="24" max="24" width="20.81640625" style="8" bestFit="1" customWidth="1"/>
  </cols>
  <sheetData>
    <row r="1" spans="1:24" x14ac:dyDescent="0.35">
      <c r="A1" t="s">
        <v>0</v>
      </c>
      <c r="B1" t="s">
        <v>4</v>
      </c>
      <c r="C1" t="s">
        <v>17</v>
      </c>
      <c r="D1" t="s">
        <v>1</v>
      </c>
      <c r="E1" t="s">
        <v>2</v>
      </c>
      <c r="F1" t="s">
        <v>3</v>
      </c>
      <c r="G1" t="s">
        <v>7</v>
      </c>
      <c r="H1" t="s">
        <v>8</v>
      </c>
      <c r="I1" t="s">
        <v>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s="8" t="s">
        <v>26</v>
      </c>
      <c r="Q1" s="8" t="s">
        <v>27</v>
      </c>
      <c r="R1" s="8" t="s">
        <v>28</v>
      </c>
      <c r="S1" s="8" t="s">
        <v>30</v>
      </c>
      <c r="T1" s="8" t="s">
        <v>31</v>
      </c>
      <c r="U1" s="8" t="s">
        <v>29</v>
      </c>
      <c r="V1" s="8" t="s">
        <v>32</v>
      </c>
      <c r="W1" s="8" t="s">
        <v>33</v>
      </c>
      <c r="X1" s="8" t="s">
        <v>34</v>
      </c>
    </row>
    <row r="2" spans="1:24" x14ac:dyDescent="0.35">
      <c r="A2" s="7" t="s">
        <v>5</v>
      </c>
      <c r="B2" s="7" t="s">
        <v>18</v>
      </c>
      <c r="C2" s="6">
        <v>1</v>
      </c>
      <c r="D2" s="1">
        <v>422.4855</v>
      </c>
      <c r="E2" s="1">
        <v>389.01250000000005</v>
      </c>
      <c r="F2" s="1">
        <v>82.5</v>
      </c>
      <c r="G2" s="1">
        <v>847.70799999999997</v>
      </c>
      <c r="H2" s="1">
        <v>675.18</v>
      </c>
      <c r="I2" s="1">
        <v>30</v>
      </c>
      <c r="J2" s="2">
        <f t="shared" ref="J2:O2" si="0">(D2/102)*1000</f>
        <v>4142.0147058823532</v>
      </c>
      <c r="K2" s="2">
        <f t="shared" si="0"/>
        <v>3813.8480392156866</v>
      </c>
      <c r="L2" s="2">
        <f t="shared" si="0"/>
        <v>808.82352941176475</v>
      </c>
      <c r="M2" s="2">
        <f t="shared" si="0"/>
        <v>8310.8627450980384</v>
      </c>
      <c r="N2" s="2">
        <f t="shared" si="0"/>
        <v>6619.411764705882</v>
      </c>
      <c r="O2" s="2">
        <f t="shared" si="0"/>
        <v>294.11764705882354</v>
      </c>
      <c r="P2" s="8">
        <v>4.9045078815840061E-2</v>
      </c>
      <c r="Q2" s="8">
        <v>2.4200019223375624</v>
      </c>
      <c r="R2" s="8">
        <v>0.2867524556920038</v>
      </c>
      <c r="S2" s="8">
        <f>Tabelle1[[#This Row],[corr_x]]/1000</f>
        <v>4.1420147058823531</v>
      </c>
      <c r="T2" s="8">
        <f>Tabelle1[[#This Row],[corr_y]]/1000</f>
        <v>3.8138480392156868</v>
      </c>
      <c r="U2" s="8">
        <f>Tabelle1[[#This Row],[corr_z]]/1000</f>
        <v>0.80882352941176472</v>
      </c>
      <c r="V2" s="8">
        <f>Tabelle1[[#This Row],[corr_soma_x]]/1000</f>
        <v>8.3108627450980386</v>
      </c>
      <c r="W2" s="8">
        <f>Tabelle1[[#This Row],[corr_soma_y]]/1000</f>
        <v>6.6194117647058821</v>
      </c>
      <c r="X2" s="8">
        <f>Tabelle1[[#This Row],[corr_soma_z]]/1000</f>
        <v>0.29411764705882354</v>
      </c>
    </row>
    <row r="3" spans="1:24" x14ac:dyDescent="0.35">
      <c r="A3" s="7" t="s">
        <v>5</v>
      </c>
      <c r="B3" s="7" t="s">
        <v>18</v>
      </c>
      <c r="C3" s="6">
        <v>2</v>
      </c>
      <c r="D3" s="1">
        <v>450.90199999999999</v>
      </c>
      <c r="E3" s="1">
        <v>412.83300000000003</v>
      </c>
      <c r="F3" s="1">
        <v>110</v>
      </c>
      <c r="G3" s="1">
        <v>847.70799999999997</v>
      </c>
      <c r="H3" s="1">
        <v>675.18</v>
      </c>
      <c r="I3" s="1">
        <v>30</v>
      </c>
      <c r="J3" s="2">
        <f t="shared" ref="J3:J4" si="1">(D3/102)*1000</f>
        <v>4420.6078431372543</v>
      </c>
      <c r="K3" s="2">
        <f t="shared" ref="K3:K4" si="2">(E3/102)*1000</f>
        <v>4047.3823529411766</v>
      </c>
      <c r="L3" s="2">
        <f t="shared" ref="L3:L4" si="3">(F3/102)*1000</f>
        <v>1078.4313725490194</v>
      </c>
      <c r="M3" s="2">
        <f t="shared" ref="M3:M4" si="4">(G3/102)*1000</f>
        <v>8310.8627450980384</v>
      </c>
      <c r="N3" s="2">
        <f t="shared" ref="N3:N4" si="5">(H3/102)*1000</f>
        <v>6619.411764705882</v>
      </c>
      <c r="O3" s="2">
        <f t="shared" ref="O3:O4" si="6">(I3/102)*1000</f>
        <v>294.11764705882354</v>
      </c>
      <c r="P3" s="8">
        <v>0.10152921953094964</v>
      </c>
      <c r="Q3" s="8">
        <v>1.5100730488273739</v>
      </c>
      <c r="R3" s="8">
        <v>0.1204551793804796</v>
      </c>
      <c r="S3" s="8">
        <f>Tabelle1[[#This Row],[corr_x]]/1000</f>
        <v>4.4206078431372546</v>
      </c>
      <c r="T3" s="8">
        <f>Tabelle1[[#This Row],[corr_y]]/1000</f>
        <v>4.0473823529411765</v>
      </c>
      <c r="U3" s="8">
        <f>Tabelle1[[#This Row],[corr_z]]/1000</f>
        <v>1.0784313725490196</v>
      </c>
      <c r="V3" s="8">
        <f>Tabelle1[[#This Row],[corr_soma_x]]/1000</f>
        <v>8.3108627450980386</v>
      </c>
      <c r="W3" s="8">
        <f>Tabelle1[[#This Row],[corr_soma_y]]/1000</f>
        <v>6.6194117647058821</v>
      </c>
      <c r="X3" s="8">
        <f>Tabelle1[[#This Row],[corr_soma_z]]/1000</f>
        <v>0.29411764705882354</v>
      </c>
    </row>
    <row r="4" spans="1:24" x14ac:dyDescent="0.35">
      <c r="A4" s="7" t="s">
        <v>5</v>
      </c>
      <c r="B4" s="7" t="s">
        <v>18</v>
      </c>
      <c r="C4" s="6">
        <v>3</v>
      </c>
      <c r="D4" s="1">
        <v>321.54150000000004</v>
      </c>
      <c r="E4" s="1">
        <v>357.75299999999999</v>
      </c>
      <c r="F4" s="1">
        <v>197.5</v>
      </c>
      <c r="G4" s="1">
        <v>847.70799999999997</v>
      </c>
      <c r="H4" s="1">
        <v>675.18</v>
      </c>
      <c r="I4" s="1">
        <v>30</v>
      </c>
      <c r="J4" s="2">
        <f t="shared" si="1"/>
        <v>3152.3676470588239</v>
      </c>
      <c r="K4" s="2">
        <f t="shared" si="2"/>
        <v>3507.3823529411766</v>
      </c>
      <c r="L4" s="2">
        <f t="shared" si="3"/>
        <v>1936.2745098039215</v>
      </c>
      <c r="M4" s="2">
        <f t="shared" si="4"/>
        <v>8310.8627450980384</v>
      </c>
      <c r="N4" s="2">
        <f t="shared" si="5"/>
        <v>6619.411764705882</v>
      </c>
      <c r="O4" s="2">
        <f t="shared" si="6"/>
        <v>294.11764705882354</v>
      </c>
      <c r="P4" s="8">
        <v>4.533314109957709E-2</v>
      </c>
      <c r="Q4" s="8">
        <v>1.8273644752018456</v>
      </c>
      <c r="R4" s="8">
        <v>0.25700051262335</v>
      </c>
      <c r="S4" s="8">
        <f>Tabelle1[[#This Row],[corr_x]]/1000</f>
        <v>3.1523676470588238</v>
      </c>
      <c r="T4" s="8">
        <f>Tabelle1[[#This Row],[corr_y]]/1000</f>
        <v>3.5073823529411765</v>
      </c>
      <c r="U4" s="8">
        <f>Tabelle1[[#This Row],[corr_z]]/1000</f>
        <v>1.9362745098039216</v>
      </c>
      <c r="V4" s="8">
        <f>Tabelle1[[#This Row],[corr_soma_x]]/1000</f>
        <v>8.3108627450980386</v>
      </c>
      <c r="W4" s="8">
        <f>Tabelle1[[#This Row],[corr_soma_y]]/1000</f>
        <v>6.6194117647058821</v>
      </c>
      <c r="X4" s="8">
        <f>Tabelle1[[#This Row],[corr_soma_z]]/1000</f>
        <v>0.29411764705882354</v>
      </c>
    </row>
    <row r="5" spans="1:24" x14ac:dyDescent="0.35">
      <c r="A5" s="7" t="s">
        <v>5</v>
      </c>
      <c r="B5" s="7" t="s">
        <v>18</v>
      </c>
      <c r="C5" s="6">
        <v>4</v>
      </c>
      <c r="D5" s="1">
        <v>394.71899999999999</v>
      </c>
      <c r="E5" s="1">
        <v>376.64100000000002</v>
      </c>
      <c r="F5" s="1">
        <v>255</v>
      </c>
      <c r="G5" s="1">
        <v>847.70799999999997</v>
      </c>
      <c r="H5" s="1">
        <v>675.18</v>
      </c>
      <c r="I5" s="1">
        <v>30</v>
      </c>
      <c r="J5" s="2">
        <f>(D5/102)*1000</f>
        <v>3869.794117647059</v>
      </c>
      <c r="K5" s="2">
        <f>(E5/102)*1000</f>
        <v>3692.5588235294117</v>
      </c>
      <c r="L5" s="2">
        <f>(F5/102)*1000</f>
        <v>2500</v>
      </c>
      <c r="M5" s="2">
        <f>(G5/102)*1000</f>
        <v>8310.8627450980384</v>
      </c>
      <c r="N5" s="2">
        <f>(H5/102)*1000</f>
        <v>6619.411764705882</v>
      </c>
      <c r="O5" s="2">
        <f>(I5/102)*1000</f>
        <v>294.11764705882354</v>
      </c>
      <c r="P5" s="8">
        <v>0.19911284121491735</v>
      </c>
      <c r="Q5" s="8">
        <v>2.4873029603998464</v>
      </c>
      <c r="R5" s="8">
        <v>0.20397791950305688</v>
      </c>
      <c r="S5" s="8">
        <f>Tabelle1[[#This Row],[corr_x]]/1000</f>
        <v>3.8697941176470589</v>
      </c>
      <c r="T5" s="8">
        <f>Tabelle1[[#This Row],[corr_y]]/1000</f>
        <v>3.6925588235294118</v>
      </c>
      <c r="U5" s="8">
        <f>Tabelle1[[#This Row],[corr_z]]/1000</f>
        <v>2.5</v>
      </c>
      <c r="V5" s="8">
        <f>Tabelle1[[#This Row],[corr_soma_x]]/1000</f>
        <v>8.3108627450980386</v>
      </c>
      <c r="W5" s="8">
        <f>Tabelle1[[#This Row],[corr_soma_y]]/1000</f>
        <v>6.6194117647058821</v>
      </c>
      <c r="X5" s="8">
        <f>Tabelle1[[#This Row],[corr_soma_z]]/1000</f>
        <v>0.29411764705882354</v>
      </c>
    </row>
    <row r="6" spans="1:24" x14ac:dyDescent="0.35">
      <c r="A6" s="7" t="s">
        <v>5</v>
      </c>
      <c r="B6" s="7" t="s">
        <v>18</v>
      </c>
      <c r="C6" s="6">
        <v>6</v>
      </c>
      <c r="D6" s="1">
        <v>383.55799999999999</v>
      </c>
      <c r="E6" s="1">
        <v>368.13900000000001</v>
      </c>
      <c r="F6" s="1">
        <v>340</v>
      </c>
      <c r="G6" s="1">
        <v>847.70799999999997</v>
      </c>
      <c r="H6" s="1">
        <v>675.18</v>
      </c>
      <c r="I6" s="1">
        <v>30</v>
      </c>
      <c r="J6" s="2">
        <f>(D6/102)*1000</f>
        <v>3760.372549019608</v>
      </c>
      <c r="K6" s="2">
        <f>(E6/102)*1000</f>
        <v>3609.205882352941</v>
      </c>
      <c r="L6" s="2">
        <f>(F6/102)*1000</f>
        <v>3333.3333333333335</v>
      </c>
      <c r="M6" s="2">
        <f>(G6/102)*1000</f>
        <v>8310.8627450980384</v>
      </c>
      <c r="N6" s="2">
        <f>(H6/102)*1000</f>
        <v>6619.411764705882</v>
      </c>
      <c r="O6" s="2">
        <f>(I6/102)*1000</f>
        <v>294.11764705882354</v>
      </c>
      <c r="P6" s="8">
        <v>0.14042579777008843</v>
      </c>
      <c r="Q6" s="8">
        <v>2.5226739715494042</v>
      </c>
      <c r="R6" s="8">
        <v>0.15295116508733445</v>
      </c>
      <c r="S6" s="8">
        <f>Tabelle1[[#This Row],[corr_x]]/1000</f>
        <v>3.7603725490196078</v>
      </c>
      <c r="T6" s="8">
        <f>Tabelle1[[#This Row],[corr_y]]/1000</f>
        <v>3.6092058823529412</v>
      </c>
      <c r="U6" s="8">
        <f>Tabelle1[[#This Row],[corr_z]]/1000</f>
        <v>3.3333333333333335</v>
      </c>
      <c r="V6" s="8">
        <f>Tabelle1[[#This Row],[corr_soma_x]]/1000</f>
        <v>8.3108627450980386</v>
      </c>
      <c r="W6" s="8">
        <f>Tabelle1[[#This Row],[corr_soma_y]]/1000</f>
        <v>6.6194117647058821</v>
      </c>
      <c r="X6" s="8">
        <f>Tabelle1[[#This Row],[corr_soma_z]]/1000</f>
        <v>0.29411764705882354</v>
      </c>
    </row>
    <row r="7" spans="1:24" x14ac:dyDescent="0.35">
      <c r="A7" s="7" t="s">
        <v>5</v>
      </c>
      <c r="B7" s="7" t="s">
        <v>18</v>
      </c>
      <c r="C7" s="6">
        <v>7</v>
      </c>
      <c r="D7" s="1">
        <v>0</v>
      </c>
      <c r="E7" s="1">
        <v>0</v>
      </c>
      <c r="F7" s="1">
        <v>480</v>
      </c>
      <c r="G7" s="1">
        <v>847.70799999999997</v>
      </c>
      <c r="H7" s="1">
        <v>675.18</v>
      </c>
      <c r="I7" s="1">
        <v>30</v>
      </c>
      <c r="J7" s="2">
        <f>(D7/102)*1000</f>
        <v>0</v>
      </c>
      <c r="K7" s="2">
        <f>(E7/102)*1000</f>
        <v>0</v>
      </c>
      <c r="L7" s="2">
        <f>(F7/102)*1000</f>
        <v>4705.8823529411766</v>
      </c>
      <c r="M7" s="2">
        <f>(G7/102)*1000</f>
        <v>8310.8627450980384</v>
      </c>
      <c r="N7" s="2">
        <f>(H7/102)*1000</f>
        <v>6619.411764705882</v>
      </c>
      <c r="O7" s="2">
        <f>(I7/102)*1000</f>
        <v>294.11764705882354</v>
      </c>
      <c r="P7" s="8">
        <v>0.24760572856593618</v>
      </c>
      <c r="Q7" s="8">
        <v>3.3254613610149941</v>
      </c>
      <c r="R7" s="8">
        <v>0.33464975763469557</v>
      </c>
      <c r="S7" s="8">
        <f>Tabelle1[[#This Row],[corr_x]]/1000</f>
        <v>0</v>
      </c>
      <c r="T7" s="8">
        <f>Tabelle1[[#This Row],[corr_y]]/1000</f>
        <v>0</v>
      </c>
      <c r="U7" s="8">
        <f>Tabelle1[[#This Row],[corr_z]]/1000</f>
        <v>4.7058823529411766</v>
      </c>
      <c r="V7" s="8">
        <f>Tabelle1[[#This Row],[corr_soma_x]]/1000</f>
        <v>8.3108627450980386</v>
      </c>
      <c r="W7" s="8">
        <f>Tabelle1[[#This Row],[corr_soma_y]]/1000</f>
        <v>6.6194117647058821</v>
      </c>
      <c r="X7" s="8">
        <f>Tabelle1[[#This Row],[corr_soma_z]]/1000</f>
        <v>0.29411764705882354</v>
      </c>
    </row>
    <row r="8" spans="1:24" x14ac:dyDescent="0.35">
      <c r="A8" s="7" t="s">
        <v>5</v>
      </c>
      <c r="B8" s="7" t="s">
        <v>18</v>
      </c>
      <c r="C8" s="6">
        <v>8</v>
      </c>
      <c r="D8" s="1">
        <v>428.71</v>
      </c>
      <c r="E8" s="1">
        <v>475.55500000000001</v>
      </c>
      <c r="F8" s="1">
        <v>580</v>
      </c>
      <c r="G8" s="1">
        <v>847.70799999999997</v>
      </c>
      <c r="H8" s="1">
        <v>675.18</v>
      </c>
      <c r="I8" s="1">
        <v>30</v>
      </c>
      <c r="J8" s="2">
        <f>(D8/102)*1000</f>
        <v>4203.0392156862745</v>
      </c>
      <c r="K8" s="2">
        <f>(E8/102)*1000</f>
        <v>4662.3039215686276</v>
      </c>
      <c r="L8" s="2">
        <f>(F8/102)*1000</f>
        <v>5686.2745098039222</v>
      </c>
      <c r="M8" s="2">
        <f>(G8/102)*1000</f>
        <v>8310.8627450980384</v>
      </c>
      <c r="N8" s="2">
        <f>(H8/102)*1000</f>
        <v>6619.411764705882</v>
      </c>
      <c r="O8" s="2">
        <f>(I8/102)*1000</f>
        <v>294.11764705882354</v>
      </c>
      <c r="P8" s="8">
        <v>0.21274798154555938</v>
      </c>
      <c r="Q8" s="8">
        <v>3.6450884275278739</v>
      </c>
      <c r="R8" s="8">
        <v>0.38273552404429667</v>
      </c>
      <c r="S8" s="8">
        <f>Tabelle1[[#This Row],[corr_x]]/1000</f>
        <v>4.2030392156862746</v>
      </c>
      <c r="T8" s="8">
        <f>Tabelle1[[#This Row],[corr_y]]/1000</f>
        <v>4.6623039215686273</v>
      </c>
      <c r="U8" s="8">
        <f>Tabelle1[[#This Row],[corr_z]]/1000</f>
        <v>5.6862745098039218</v>
      </c>
      <c r="V8" s="8">
        <f>Tabelle1[[#This Row],[corr_soma_x]]/1000</f>
        <v>8.3108627450980386</v>
      </c>
      <c r="W8" s="8">
        <f>Tabelle1[[#This Row],[corr_soma_y]]/1000</f>
        <v>6.6194117647058821</v>
      </c>
      <c r="X8" s="8">
        <f>Tabelle1[[#This Row],[corr_soma_z]]/1000</f>
        <v>0.29411764705882354</v>
      </c>
    </row>
    <row r="9" spans="1:24" x14ac:dyDescent="0.35">
      <c r="A9" s="7" t="s">
        <v>5</v>
      </c>
      <c r="B9" s="7" t="s">
        <v>19</v>
      </c>
      <c r="C9" s="6">
        <v>2</v>
      </c>
      <c r="D9" s="1">
        <v>398.79899999999998</v>
      </c>
      <c r="E9" s="1">
        <v>491.35399999999998</v>
      </c>
      <c r="F9" s="1">
        <v>635</v>
      </c>
      <c r="G9" s="1">
        <v>847.70799999999997</v>
      </c>
      <c r="H9" s="1">
        <v>675.18</v>
      </c>
      <c r="I9" s="1">
        <v>30</v>
      </c>
      <c r="J9" s="2">
        <f>(D9/102)*1000</f>
        <v>3909.7941176470586</v>
      </c>
      <c r="K9" s="2">
        <f>(E9/102)*1000</f>
        <v>4817.1960784313724</v>
      </c>
      <c r="L9" s="2">
        <f>(F9/102)*1000</f>
        <v>6225.4901960784318</v>
      </c>
      <c r="M9" s="2">
        <f>(G9/102)*1000</f>
        <v>8310.8627450980384</v>
      </c>
      <c r="N9" s="2">
        <f>(H9/102)*1000</f>
        <v>6619.411764705882</v>
      </c>
      <c r="O9" s="2">
        <f>(I9/102)*1000</f>
        <v>294.11764705882354</v>
      </c>
      <c r="P9" s="8">
        <v>5.3114859669357938E-2</v>
      </c>
      <c r="Q9" s="8">
        <v>1.4640618992695118</v>
      </c>
      <c r="R9" s="8">
        <v>0.11001895952537109</v>
      </c>
      <c r="S9" s="8">
        <f>Tabelle1[[#This Row],[corr_x]]/1000</f>
        <v>3.9097941176470585</v>
      </c>
      <c r="T9" s="8">
        <f>Tabelle1[[#This Row],[corr_y]]/1000</f>
        <v>4.8171960784313725</v>
      </c>
      <c r="U9" s="8">
        <f>Tabelle1[[#This Row],[corr_z]]/1000</f>
        <v>6.2254901960784315</v>
      </c>
      <c r="V9" s="8">
        <f>Tabelle1[[#This Row],[corr_soma_x]]/1000</f>
        <v>8.3108627450980386</v>
      </c>
      <c r="W9" s="8">
        <f>Tabelle1[[#This Row],[corr_soma_y]]/1000</f>
        <v>6.6194117647058821</v>
      </c>
      <c r="X9" s="8">
        <f>Tabelle1[[#This Row],[corr_soma_z]]/1000</f>
        <v>0.29411764705882354</v>
      </c>
    </row>
    <row r="10" spans="1:24" x14ac:dyDescent="0.35">
      <c r="A10" s="7" t="s">
        <v>5</v>
      </c>
      <c r="B10" s="7" t="s">
        <v>18</v>
      </c>
      <c r="C10" s="6">
        <v>9</v>
      </c>
      <c r="D10" s="1">
        <v>438.45550000000003</v>
      </c>
      <c r="E10" s="1">
        <v>519.57299999999998</v>
      </c>
      <c r="F10" s="1">
        <v>642.5</v>
      </c>
      <c r="G10" s="1">
        <v>847.70799999999997</v>
      </c>
      <c r="H10" s="1">
        <v>675.18</v>
      </c>
      <c r="I10" s="1">
        <v>30</v>
      </c>
      <c r="J10" s="2">
        <f>(D10/102)*1000</f>
        <v>4298.583333333333</v>
      </c>
      <c r="K10" s="2">
        <f>(E10/102)*1000</f>
        <v>5093.8529411764703</v>
      </c>
      <c r="L10" s="2">
        <f>(F10/102)*1000</f>
        <v>6299.0196078431372</v>
      </c>
      <c r="M10" s="2">
        <f>(G10/102)*1000</f>
        <v>8310.8627450980384</v>
      </c>
      <c r="N10" s="2">
        <f>(H10/102)*1000</f>
        <v>6619.411764705882</v>
      </c>
      <c r="O10" s="2">
        <f>(I10/102)*1000</f>
        <v>294.11764705882354</v>
      </c>
      <c r="P10" s="8">
        <v>3.8042483660130716E-2</v>
      </c>
      <c r="Q10" s="8">
        <v>2.0833717800845828</v>
      </c>
      <c r="R10" s="8">
        <v>0.22612249436491244</v>
      </c>
      <c r="S10" s="8">
        <f>Tabelle1[[#This Row],[corr_x]]/1000</f>
        <v>4.2985833333333332</v>
      </c>
      <c r="T10" s="8">
        <f>Tabelle1[[#This Row],[corr_y]]/1000</f>
        <v>5.0938529411764701</v>
      </c>
      <c r="U10" s="8">
        <f>Tabelle1[[#This Row],[corr_z]]/1000</f>
        <v>6.2990196078431371</v>
      </c>
      <c r="V10" s="8">
        <f>Tabelle1[[#This Row],[corr_soma_x]]/1000</f>
        <v>8.3108627450980386</v>
      </c>
      <c r="W10" s="8">
        <f>Tabelle1[[#This Row],[corr_soma_y]]/1000</f>
        <v>6.6194117647058821</v>
      </c>
      <c r="X10" s="8">
        <f>Tabelle1[[#This Row],[corr_soma_z]]/1000</f>
        <v>0.29411764705882354</v>
      </c>
    </row>
    <row r="11" spans="1:24" x14ac:dyDescent="0.35">
      <c r="A11" s="7" t="s">
        <v>5</v>
      </c>
      <c r="B11" s="7" t="s">
        <v>18</v>
      </c>
      <c r="C11" s="6">
        <v>10</v>
      </c>
      <c r="D11" s="1">
        <v>409.45100000000002</v>
      </c>
      <c r="E11" s="1">
        <v>493.74349999999998</v>
      </c>
      <c r="F11" s="1">
        <v>687.5</v>
      </c>
      <c r="G11" s="1">
        <v>847.70799999999997</v>
      </c>
      <c r="H11" s="1">
        <v>675.18</v>
      </c>
      <c r="I11" s="1">
        <v>30</v>
      </c>
      <c r="J11" s="2">
        <f>(D11/102)*1000</f>
        <v>4014.2254901960791</v>
      </c>
      <c r="K11" s="2">
        <f>(E11/102)*1000</f>
        <v>4840.6225490196075</v>
      </c>
      <c r="L11" s="2">
        <f>(F11/102)*1000</f>
        <v>6740.1960784313724</v>
      </c>
      <c r="M11" s="2">
        <f>(G11/102)*1000</f>
        <v>8310.8627450980384</v>
      </c>
      <c r="N11" s="2">
        <f>(H11/102)*1000</f>
        <v>6619.411764705882</v>
      </c>
      <c r="O11" s="2">
        <f>(I11/102)*1000</f>
        <v>294.11764705882354</v>
      </c>
      <c r="P11" s="8">
        <v>0.11996732026143792</v>
      </c>
      <c r="Q11" s="8">
        <v>2.8152249134948097</v>
      </c>
      <c r="R11" s="8">
        <v>0.26693541699647949</v>
      </c>
      <c r="S11" s="8">
        <f>Tabelle1[[#This Row],[corr_x]]/1000</f>
        <v>4.014225490196079</v>
      </c>
      <c r="T11" s="8">
        <f>Tabelle1[[#This Row],[corr_y]]/1000</f>
        <v>4.8406225490196073</v>
      </c>
      <c r="U11" s="8">
        <f>Tabelle1[[#This Row],[corr_z]]/1000</f>
        <v>6.7401960784313726</v>
      </c>
      <c r="V11" s="8">
        <f>Tabelle1[[#This Row],[corr_soma_x]]/1000</f>
        <v>8.3108627450980386</v>
      </c>
      <c r="W11" s="8">
        <f>Tabelle1[[#This Row],[corr_soma_y]]/1000</f>
        <v>6.6194117647058821</v>
      </c>
      <c r="X11" s="8">
        <f>Tabelle1[[#This Row],[corr_soma_z]]/1000</f>
        <v>0.29411764705882354</v>
      </c>
    </row>
    <row r="12" spans="1:24" x14ac:dyDescent="0.35">
      <c r="A12" s="7" t="s">
        <v>5</v>
      </c>
      <c r="B12" s="7" t="s">
        <v>18</v>
      </c>
      <c r="C12" s="6">
        <v>11</v>
      </c>
      <c r="D12" s="1">
        <v>483.57900000000001</v>
      </c>
      <c r="E12" s="1">
        <v>574.85850000000005</v>
      </c>
      <c r="F12" s="1">
        <v>705</v>
      </c>
      <c r="G12" s="1">
        <v>847.70799999999997</v>
      </c>
      <c r="H12" s="1">
        <v>675.18</v>
      </c>
      <c r="I12" s="1">
        <v>30</v>
      </c>
      <c r="J12" s="2">
        <f>(D12/102)*1000</f>
        <v>4740.9705882352946</v>
      </c>
      <c r="K12" s="2">
        <f>(E12/102)*1000</f>
        <v>5635.8676470588234</v>
      </c>
      <c r="L12" s="2">
        <f>(F12/102)*1000</f>
        <v>6911.7647058823532</v>
      </c>
      <c r="M12" s="2">
        <f>(G12/102)*1000</f>
        <v>8310.8627450980384</v>
      </c>
      <c r="N12" s="2">
        <f>(H12/102)*1000</f>
        <v>6619.411764705882</v>
      </c>
      <c r="O12" s="2">
        <f>(I12/102)*1000</f>
        <v>294.11764705882354</v>
      </c>
      <c r="P12" s="8">
        <v>6.5505094194540564E-2</v>
      </c>
      <c r="Q12" s="8">
        <v>2.5297193387158785</v>
      </c>
      <c r="R12" s="8">
        <v>0.26447501338097718</v>
      </c>
      <c r="S12" s="8">
        <f>Tabelle1[[#This Row],[corr_x]]/1000</f>
        <v>4.7409705882352942</v>
      </c>
      <c r="T12" s="8">
        <f>Tabelle1[[#This Row],[corr_y]]/1000</f>
        <v>5.6358676470588236</v>
      </c>
      <c r="U12" s="8">
        <f>Tabelle1[[#This Row],[corr_z]]/1000</f>
        <v>6.9117647058823533</v>
      </c>
      <c r="V12" s="8">
        <f>Tabelle1[[#This Row],[corr_soma_x]]/1000</f>
        <v>8.3108627450980386</v>
      </c>
      <c r="W12" s="8">
        <f>Tabelle1[[#This Row],[corr_soma_y]]/1000</f>
        <v>6.6194117647058821</v>
      </c>
      <c r="X12" s="8">
        <f>Tabelle1[[#This Row],[corr_soma_z]]/1000</f>
        <v>0.29411764705882354</v>
      </c>
    </row>
    <row r="13" spans="1:24" x14ac:dyDescent="0.35">
      <c r="A13" s="7" t="s">
        <v>5</v>
      </c>
      <c r="B13" s="7" t="s">
        <v>19</v>
      </c>
      <c r="C13" s="6">
        <v>3</v>
      </c>
      <c r="D13" s="1">
        <v>491.19099999999997</v>
      </c>
      <c r="E13" s="1">
        <v>523.20000000000005</v>
      </c>
      <c r="F13" s="1">
        <v>765</v>
      </c>
      <c r="G13" s="1">
        <v>847.70799999999997</v>
      </c>
      <c r="H13" s="1">
        <v>675.18</v>
      </c>
      <c r="I13" s="1">
        <v>30</v>
      </c>
      <c r="J13" s="2">
        <f>(D13/102)*1000</f>
        <v>4815.5980392156862</v>
      </c>
      <c r="K13" s="2">
        <f>(E13/102)*1000</f>
        <v>5129.4117647058829</v>
      </c>
      <c r="L13" s="2">
        <f>(F13/102)*1000</f>
        <v>7500</v>
      </c>
      <c r="M13" s="2">
        <f>(G13/102)*1000</f>
        <v>8310.8627450980384</v>
      </c>
      <c r="N13" s="2">
        <f>(H13/102)*1000</f>
        <v>6619.411764705882</v>
      </c>
      <c r="O13" s="2">
        <f>(I13/102)*1000</f>
        <v>294.11764705882354</v>
      </c>
      <c r="P13" s="8">
        <v>3.7358515955401767E-2</v>
      </c>
      <c r="Q13" s="8">
        <v>1.3142060745866975</v>
      </c>
      <c r="R13" s="8">
        <v>0.11035913788814257</v>
      </c>
      <c r="S13" s="8">
        <f>Tabelle1[[#This Row],[corr_x]]/1000</f>
        <v>4.8155980392156863</v>
      </c>
      <c r="T13" s="8">
        <f>Tabelle1[[#This Row],[corr_y]]/1000</f>
        <v>5.1294117647058828</v>
      </c>
      <c r="U13" s="8">
        <f>Tabelle1[[#This Row],[corr_z]]/1000</f>
        <v>7.5</v>
      </c>
      <c r="V13" s="8">
        <f>Tabelle1[[#This Row],[corr_soma_x]]/1000</f>
        <v>8.3108627450980386</v>
      </c>
      <c r="W13" s="8">
        <f>Tabelle1[[#This Row],[corr_soma_y]]/1000</f>
        <v>6.6194117647058821</v>
      </c>
      <c r="X13" s="8">
        <f>Tabelle1[[#This Row],[corr_soma_z]]/1000</f>
        <v>0.29411764705882354</v>
      </c>
    </row>
    <row r="14" spans="1:24" x14ac:dyDescent="0.35">
      <c r="A14" s="7" t="s">
        <v>5</v>
      </c>
      <c r="B14" s="7" t="s">
        <v>19</v>
      </c>
      <c r="C14" s="6">
        <v>4</v>
      </c>
      <c r="D14" s="1">
        <v>454.17150000000004</v>
      </c>
      <c r="E14" s="1">
        <v>516.2059999999999</v>
      </c>
      <c r="F14" s="1">
        <v>797.5</v>
      </c>
      <c r="G14" s="1">
        <v>847.70799999999997</v>
      </c>
      <c r="H14" s="1">
        <v>675.18</v>
      </c>
      <c r="I14" s="1">
        <v>30</v>
      </c>
      <c r="J14" s="2">
        <f>(D14/102)*1000</f>
        <v>4452.6617647058829</v>
      </c>
      <c r="K14" s="2">
        <f>(E14/102)*1000</f>
        <v>5060.8431372549012</v>
      </c>
      <c r="L14" s="2">
        <f>(F14/102)*1000</f>
        <v>7818.6274509803916</v>
      </c>
      <c r="M14" s="2">
        <f>(G14/102)*1000</f>
        <v>8310.8627450980384</v>
      </c>
      <c r="N14" s="2">
        <f>(H14/102)*1000</f>
        <v>6619.411764705882</v>
      </c>
      <c r="O14" s="2">
        <f>(I14/102)*1000</f>
        <v>294.11764705882354</v>
      </c>
      <c r="P14" s="8">
        <v>1.7265474817377932E-2</v>
      </c>
      <c r="Q14" s="8">
        <v>0.3642839292579777</v>
      </c>
      <c r="R14" s="8">
        <v>2.424105359175581E-2</v>
      </c>
      <c r="S14" s="8">
        <f>Tabelle1[[#This Row],[corr_x]]/1000</f>
        <v>4.4526617647058826</v>
      </c>
      <c r="T14" s="8">
        <f>Tabelle1[[#This Row],[corr_y]]/1000</f>
        <v>5.060843137254901</v>
      </c>
      <c r="U14" s="8">
        <f>Tabelle1[[#This Row],[corr_z]]/1000</f>
        <v>7.8186274509803919</v>
      </c>
      <c r="V14" s="8">
        <f>Tabelle1[[#This Row],[corr_soma_x]]/1000</f>
        <v>8.3108627450980386</v>
      </c>
      <c r="W14" s="8">
        <f>Tabelle1[[#This Row],[corr_soma_y]]/1000</f>
        <v>6.6194117647058821</v>
      </c>
      <c r="X14" s="8">
        <f>Tabelle1[[#This Row],[corr_soma_z]]/1000</f>
        <v>0.29411764705882354</v>
      </c>
    </row>
    <row r="15" spans="1:24" x14ac:dyDescent="0.35">
      <c r="A15" s="7" t="s">
        <v>5</v>
      </c>
      <c r="B15" s="7" t="s">
        <v>18</v>
      </c>
      <c r="C15" s="6">
        <v>12</v>
      </c>
      <c r="D15" s="1">
        <v>466.60599999999999</v>
      </c>
      <c r="E15" s="1">
        <v>546.29349999999999</v>
      </c>
      <c r="F15" s="1">
        <v>837.5</v>
      </c>
      <c r="G15" s="1">
        <v>847.70799999999997</v>
      </c>
      <c r="H15" s="1">
        <v>675.18</v>
      </c>
      <c r="I15" s="1">
        <v>30</v>
      </c>
      <c r="J15" s="2">
        <f>(D15/102)*1000</f>
        <v>4574.5686274509799</v>
      </c>
      <c r="K15" s="2">
        <f>(E15/102)*1000</f>
        <v>5355.8186274509799</v>
      </c>
      <c r="L15" s="2">
        <f>(F15/102)*1000</f>
        <v>8210.7843137254895</v>
      </c>
      <c r="M15" s="2">
        <f>(G15/102)*1000</f>
        <v>8310.8627450980384</v>
      </c>
      <c r="N15" s="2">
        <f>(H15/102)*1000</f>
        <v>6619.411764705882</v>
      </c>
      <c r="O15" s="2">
        <f>(I15/102)*1000</f>
        <v>294.11764705882354</v>
      </c>
      <c r="P15" s="8">
        <v>2.1332179930795846E-2</v>
      </c>
      <c r="Q15" s="8">
        <v>0.6125999615532487</v>
      </c>
      <c r="R15" s="8">
        <v>5.5324121190190804E-2</v>
      </c>
      <c r="S15" s="8">
        <f>Tabelle1[[#This Row],[corr_x]]/1000</f>
        <v>4.5745686274509803</v>
      </c>
      <c r="T15" s="8">
        <f>Tabelle1[[#This Row],[corr_y]]/1000</f>
        <v>5.3558186274509803</v>
      </c>
      <c r="U15" s="8">
        <f>Tabelle1[[#This Row],[corr_z]]/1000</f>
        <v>8.2107843137254903</v>
      </c>
      <c r="V15" s="8">
        <f>Tabelle1[[#This Row],[corr_soma_x]]/1000</f>
        <v>8.3108627450980386</v>
      </c>
      <c r="W15" s="8">
        <f>Tabelle1[[#This Row],[corr_soma_y]]/1000</f>
        <v>6.6194117647058821</v>
      </c>
      <c r="X15" s="8">
        <f>Tabelle1[[#This Row],[corr_soma_z]]/1000</f>
        <v>0.29411764705882354</v>
      </c>
    </row>
    <row r="16" spans="1:24" x14ac:dyDescent="0.35">
      <c r="A16" s="7" t="s">
        <v>5</v>
      </c>
      <c r="B16" s="7" t="s">
        <v>18</v>
      </c>
      <c r="C16" s="6">
        <v>13</v>
      </c>
      <c r="D16" s="1">
        <v>554.18350000000009</v>
      </c>
      <c r="E16" s="1">
        <v>593.48250000000007</v>
      </c>
      <c r="F16" s="1">
        <v>872.5</v>
      </c>
      <c r="G16" s="1">
        <v>847.70799999999997</v>
      </c>
      <c r="H16" s="1">
        <v>675.18</v>
      </c>
      <c r="I16" s="1">
        <v>30</v>
      </c>
      <c r="J16" s="2">
        <f>(D16/102)*1000</f>
        <v>5433.171568627452</v>
      </c>
      <c r="K16" s="2">
        <f>(E16/102)*1000</f>
        <v>5818.4558823529424</v>
      </c>
      <c r="L16" s="2">
        <f>(F16/102)*1000</f>
        <v>8553.9215686274511</v>
      </c>
      <c r="M16" s="2">
        <f>(G16/102)*1000</f>
        <v>8310.8627450980384</v>
      </c>
      <c r="N16" s="2">
        <f>(H16/102)*1000</f>
        <v>6619.411764705882</v>
      </c>
      <c r="O16" s="2">
        <f>(I16/102)*1000</f>
        <v>294.11764705882354</v>
      </c>
      <c r="P16" s="8">
        <v>0.18339773164167628</v>
      </c>
      <c r="Q16" s="8">
        <v>3.007516339869281</v>
      </c>
      <c r="R16" s="8">
        <v>0.27318301407452639</v>
      </c>
      <c r="S16" s="8">
        <f>Tabelle1[[#This Row],[corr_x]]/1000</f>
        <v>5.4331715686274515</v>
      </c>
      <c r="T16" s="8">
        <f>Tabelle1[[#This Row],[corr_y]]/1000</f>
        <v>5.818455882352942</v>
      </c>
      <c r="U16" s="8">
        <f>Tabelle1[[#This Row],[corr_z]]/1000</f>
        <v>8.5539215686274517</v>
      </c>
      <c r="V16" s="8">
        <f>Tabelle1[[#This Row],[corr_soma_x]]/1000</f>
        <v>8.3108627450980386</v>
      </c>
      <c r="W16" s="8">
        <f>Tabelle1[[#This Row],[corr_soma_y]]/1000</f>
        <v>6.6194117647058821</v>
      </c>
      <c r="X16" s="8">
        <f>Tabelle1[[#This Row],[corr_soma_z]]/1000</f>
        <v>0.29411764705882354</v>
      </c>
    </row>
    <row r="17" spans="1:24" x14ac:dyDescent="0.35">
      <c r="A17" s="7" t="s">
        <v>5</v>
      </c>
      <c r="B17" s="7" t="s">
        <v>18</v>
      </c>
      <c r="C17" s="6">
        <v>14</v>
      </c>
      <c r="D17" s="1">
        <v>591.37900000000002</v>
      </c>
      <c r="E17" s="1">
        <v>637.80799999999999</v>
      </c>
      <c r="F17" s="1">
        <v>880</v>
      </c>
      <c r="G17" s="1">
        <v>847.70799999999997</v>
      </c>
      <c r="H17" s="1">
        <v>675.18</v>
      </c>
      <c r="I17" s="1">
        <v>30</v>
      </c>
      <c r="J17" s="2">
        <f>(D17/102)*1000</f>
        <v>5797.833333333333</v>
      </c>
      <c r="K17" s="2">
        <f>(E17/102)*1000</f>
        <v>6253.0196078431372</v>
      </c>
      <c r="L17" s="2">
        <f>(F17/102)*1000</f>
        <v>8627.4509803921555</v>
      </c>
      <c r="M17" s="2">
        <f>(G17/102)*1000</f>
        <v>8310.8627450980384</v>
      </c>
      <c r="N17" s="2">
        <f>(H17/102)*1000</f>
        <v>6619.411764705882</v>
      </c>
      <c r="O17" s="2">
        <f>(I17/102)*1000</f>
        <v>294.11764705882354</v>
      </c>
      <c r="P17" s="8">
        <v>2.3441080353710113E-2</v>
      </c>
      <c r="Q17" s="8">
        <v>2.1283929257977698</v>
      </c>
      <c r="R17" s="8">
        <v>0.15458703666010809</v>
      </c>
      <c r="S17" s="8">
        <f>Tabelle1[[#This Row],[corr_x]]/1000</f>
        <v>5.7978333333333332</v>
      </c>
      <c r="T17" s="8">
        <f>Tabelle1[[#This Row],[corr_y]]/1000</f>
        <v>6.2530196078431368</v>
      </c>
      <c r="U17" s="8">
        <f>Tabelle1[[#This Row],[corr_z]]/1000</f>
        <v>8.6274509803921564</v>
      </c>
      <c r="V17" s="8">
        <f>Tabelle1[[#This Row],[corr_soma_x]]/1000</f>
        <v>8.3108627450980386</v>
      </c>
      <c r="W17" s="8">
        <f>Tabelle1[[#This Row],[corr_soma_y]]/1000</f>
        <v>6.6194117647058821</v>
      </c>
      <c r="X17" s="8">
        <f>Tabelle1[[#This Row],[corr_soma_z]]/1000</f>
        <v>0.29411764705882354</v>
      </c>
    </row>
    <row r="18" spans="1:24" x14ac:dyDescent="0.35">
      <c r="A18" s="7" t="s">
        <v>5</v>
      </c>
      <c r="B18" s="7" t="s">
        <v>18</v>
      </c>
      <c r="C18" s="6">
        <v>15</v>
      </c>
      <c r="D18" s="1">
        <v>585.90499999999997</v>
      </c>
      <c r="E18" s="1">
        <v>654.798</v>
      </c>
      <c r="F18" s="1">
        <v>890</v>
      </c>
      <c r="G18" s="1">
        <v>847.70799999999997</v>
      </c>
      <c r="H18" s="1">
        <v>675.18</v>
      </c>
      <c r="I18" s="1">
        <v>30</v>
      </c>
      <c r="J18" s="2">
        <f>(D18/102)*1000</f>
        <v>5744.166666666667</v>
      </c>
      <c r="K18" s="2">
        <f>(E18/102)*1000</f>
        <v>6419.588235294118</v>
      </c>
      <c r="L18" s="2">
        <f>(F18/102)*1000</f>
        <v>8725.49019607843</v>
      </c>
      <c r="M18" s="2">
        <f>(G18/102)*1000</f>
        <v>8310.8627450980384</v>
      </c>
      <c r="N18" s="2">
        <f>(H18/102)*1000</f>
        <v>6619.411764705882</v>
      </c>
      <c r="O18" s="2">
        <f>(I18/102)*1000</f>
        <v>294.11764705882354</v>
      </c>
      <c r="P18" s="8">
        <v>0.10448673587081891</v>
      </c>
      <c r="Q18" s="8">
        <v>2.1155132641291812</v>
      </c>
      <c r="R18" s="8">
        <v>0.19748249165102411</v>
      </c>
      <c r="S18" s="8">
        <f>Tabelle1[[#This Row],[corr_x]]/1000</f>
        <v>5.7441666666666666</v>
      </c>
      <c r="T18" s="8">
        <f>Tabelle1[[#This Row],[corr_y]]/1000</f>
        <v>6.4195882352941176</v>
      </c>
      <c r="U18" s="8">
        <f>Tabelle1[[#This Row],[corr_z]]/1000</f>
        <v>8.7254901960784306</v>
      </c>
      <c r="V18" s="8">
        <f>Tabelle1[[#This Row],[corr_soma_x]]/1000</f>
        <v>8.3108627450980386</v>
      </c>
      <c r="W18" s="8">
        <f>Tabelle1[[#This Row],[corr_soma_y]]/1000</f>
        <v>6.6194117647058821</v>
      </c>
      <c r="X18" s="8">
        <f>Tabelle1[[#This Row],[corr_soma_z]]/1000</f>
        <v>0.29411764705882354</v>
      </c>
    </row>
    <row r="19" spans="1:24" x14ac:dyDescent="0.35">
      <c r="A19" s="7" t="s">
        <v>5</v>
      </c>
      <c r="B19" s="7" t="s">
        <v>19</v>
      </c>
      <c r="C19" s="6">
        <v>5</v>
      </c>
      <c r="D19" s="1">
        <v>674.68399999999997</v>
      </c>
      <c r="E19" s="1">
        <v>689.01700000000005</v>
      </c>
      <c r="F19" s="1">
        <v>985</v>
      </c>
      <c r="G19" s="1">
        <v>847.70799999999997</v>
      </c>
      <c r="H19" s="1">
        <v>675.18</v>
      </c>
      <c r="I19" s="1">
        <v>30</v>
      </c>
      <c r="J19" s="2">
        <f>(D19/102)*1000</f>
        <v>6614.5490196078426</v>
      </c>
      <c r="K19" s="2">
        <f>(E19/102)*1000</f>
        <v>6755.0686274509808</v>
      </c>
      <c r="L19" s="2">
        <f>(F19/102)*1000</f>
        <v>9656.8627450980384</v>
      </c>
      <c r="M19" s="2">
        <f>(G19/102)*1000</f>
        <v>8310.8627450980384</v>
      </c>
      <c r="N19" s="2">
        <f>(H19/102)*1000</f>
        <v>6619.411764705882</v>
      </c>
      <c r="O19" s="2">
        <f>(I19/102)*1000</f>
        <v>294.11764705882354</v>
      </c>
      <c r="P19" s="8">
        <v>2.3008938869665513E-2</v>
      </c>
      <c r="Q19" s="8">
        <v>1.2506247597078046</v>
      </c>
      <c r="R19" s="8">
        <v>9.4671355662603374E-2</v>
      </c>
      <c r="S19" s="8">
        <f>Tabelle1[[#This Row],[corr_x]]/1000</f>
        <v>6.6145490196078427</v>
      </c>
      <c r="T19" s="8">
        <f>Tabelle1[[#This Row],[corr_y]]/1000</f>
        <v>6.7550686274509806</v>
      </c>
      <c r="U19" s="8">
        <f>Tabelle1[[#This Row],[corr_z]]/1000</f>
        <v>9.6568627450980387</v>
      </c>
      <c r="V19" s="8">
        <f>Tabelle1[[#This Row],[corr_soma_x]]/1000</f>
        <v>8.3108627450980386</v>
      </c>
      <c r="W19" s="8">
        <f>Tabelle1[[#This Row],[corr_soma_y]]/1000</f>
        <v>6.6194117647058821</v>
      </c>
      <c r="X19" s="8">
        <f>Tabelle1[[#This Row],[corr_soma_z]]/1000</f>
        <v>0.29411764705882354</v>
      </c>
    </row>
    <row r="20" spans="1:24" x14ac:dyDescent="0.35">
      <c r="A20" s="7" t="s">
        <v>5</v>
      </c>
      <c r="B20" s="7" t="s">
        <v>19</v>
      </c>
      <c r="C20" s="6">
        <v>6</v>
      </c>
      <c r="D20" s="1">
        <v>639.71</v>
      </c>
      <c r="E20" s="1">
        <v>634.346</v>
      </c>
      <c r="F20" s="1">
        <v>1005</v>
      </c>
      <c r="G20" s="1">
        <v>847.70799999999997</v>
      </c>
      <c r="H20" s="1">
        <v>675.18</v>
      </c>
      <c r="I20" s="1">
        <v>30</v>
      </c>
      <c r="J20" s="2">
        <f>(D20/102)*1000</f>
        <v>6271.666666666667</v>
      </c>
      <c r="K20" s="2">
        <f>(E20/102)*1000</f>
        <v>6219.0784313725489</v>
      </c>
      <c r="L20" s="2">
        <f>(F20/102)*1000</f>
        <v>9852.9411764705892</v>
      </c>
      <c r="M20" s="2">
        <f>(G20/102)*1000</f>
        <v>8310.8627450980384</v>
      </c>
      <c r="N20" s="2">
        <f>(H20/102)*1000</f>
        <v>6619.411764705882</v>
      </c>
      <c r="O20" s="2">
        <f>(I20/102)*1000</f>
        <v>294.11764705882354</v>
      </c>
      <c r="P20" s="8">
        <v>6.1223087274125338E-3</v>
      </c>
      <c r="Q20" s="8">
        <v>4.4221164936562856</v>
      </c>
      <c r="R20" s="8">
        <v>0.5435249263103934</v>
      </c>
      <c r="S20" s="8">
        <f>Tabelle1[[#This Row],[corr_x]]/1000</f>
        <v>6.2716666666666674</v>
      </c>
      <c r="T20" s="8">
        <f>Tabelle1[[#This Row],[corr_y]]/1000</f>
        <v>6.2190784313725489</v>
      </c>
      <c r="U20" s="8">
        <f>Tabelle1[[#This Row],[corr_z]]/1000</f>
        <v>9.8529411764705888</v>
      </c>
      <c r="V20" s="8">
        <f>Tabelle1[[#This Row],[corr_soma_x]]/1000</f>
        <v>8.3108627450980386</v>
      </c>
      <c r="W20" s="8">
        <f>Tabelle1[[#This Row],[corr_soma_y]]/1000</f>
        <v>6.6194117647058821</v>
      </c>
      <c r="X20" s="8">
        <f>Tabelle1[[#This Row],[corr_soma_z]]/1000</f>
        <v>0.29411764705882354</v>
      </c>
    </row>
    <row r="21" spans="1:24" x14ac:dyDescent="0.35">
      <c r="A21" s="7" t="s">
        <v>5</v>
      </c>
      <c r="B21" s="7" t="s">
        <v>18</v>
      </c>
      <c r="C21" s="6">
        <v>16</v>
      </c>
      <c r="D21" s="1">
        <v>733.95</v>
      </c>
      <c r="E21" s="1">
        <v>638.50649999999996</v>
      </c>
      <c r="F21" s="1">
        <v>1032.5</v>
      </c>
      <c r="G21" s="1">
        <v>847.70799999999997</v>
      </c>
      <c r="H21" s="1">
        <v>675.18</v>
      </c>
      <c r="I21" s="1">
        <v>30</v>
      </c>
      <c r="J21" s="2">
        <f>(D21/102)*1000</f>
        <v>7195.588235294118</v>
      </c>
      <c r="K21" s="2">
        <f>(E21/102)*1000</f>
        <v>6259.8676470588234</v>
      </c>
      <c r="L21" s="2">
        <f>(F21/102)*1000</f>
        <v>10122.549019607844</v>
      </c>
      <c r="M21" s="2">
        <f>(G21/102)*1000</f>
        <v>8310.8627450980384</v>
      </c>
      <c r="N21" s="2">
        <f>(H21/102)*1000</f>
        <v>6619.411764705882</v>
      </c>
      <c r="O21" s="2">
        <f>(I21/102)*1000</f>
        <v>294.11764705882354</v>
      </c>
      <c r="P21" s="8">
        <v>5.2930603613994626E-2</v>
      </c>
      <c r="Q21" s="8">
        <v>1.1098712033833142</v>
      </c>
      <c r="R21" s="8">
        <v>6.8741566215105812E-2</v>
      </c>
      <c r="S21" s="8">
        <f>Tabelle1[[#This Row],[corr_x]]/1000</f>
        <v>7.1955882352941183</v>
      </c>
      <c r="T21" s="8">
        <f>Tabelle1[[#This Row],[corr_y]]/1000</f>
        <v>6.2598676470588233</v>
      </c>
      <c r="U21" s="8">
        <f>Tabelle1[[#This Row],[corr_z]]/1000</f>
        <v>10.122549019607844</v>
      </c>
      <c r="V21" s="8">
        <f>Tabelle1[[#This Row],[corr_soma_x]]/1000</f>
        <v>8.3108627450980386</v>
      </c>
      <c r="W21" s="8">
        <f>Tabelle1[[#This Row],[corr_soma_y]]/1000</f>
        <v>6.6194117647058821</v>
      </c>
      <c r="X21" s="8">
        <f>Tabelle1[[#This Row],[corr_soma_z]]/1000</f>
        <v>0.29411764705882354</v>
      </c>
    </row>
    <row r="22" spans="1:24" x14ac:dyDescent="0.35">
      <c r="A22" s="7" t="s">
        <v>5</v>
      </c>
      <c r="B22" s="7" t="s">
        <v>18</v>
      </c>
      <c r="C22" s="6">
        <v>17</v>
      </c>
      <c r="D22" s="1">
        <v>787.37149999999997</v>
      </c>
      <c r="E22" s="1">
        <v>638.71550000000002</v>
      </c>
      <c r="F22" s="1">
        <v>1132.5</v>
      </c>
      <c r="G22" s="1">
        <v>847.70799999999997</v>
      </c>
      <c r="H22" s="1">
        <v>675.18</v>
      </c>
      <c r="I22" s="1">
        <v>30</v>
      </c>
      <c r="J22" s="2">
        <f>(D22/102)*1000</f>
        <v>7719.328431372548</v>
      </c>
      <c r="K22" s="2">
        <f>(E22/102)*1000</f>
        <v>6261.916666666667</v>
      </c>
      <c r="L22" s="2">
        <f>(F22/102)*1000</f>
        <v>11102.941176470589</v>
      </c>
      <c r="M22" s="2">
        <f>(G22/102)*1000</f>
        <v>8310.8627450980384</v>
      </c>
      <c r="N22" s="2">
        <f>(H22/102)*1000</f>
        <v>6619.411764705882</v>
      </c>
      <c r="O22" s="2">
        <f>(I22/102)*1000</f>
        <v>294.11764705882354</v>
      </c>
      <c r="P22" s="8">
        <v>0.12523452518262207</v>
      </c>
      <c r="Q22" s="8">
        <v>2.2330161476355248</v>
      </c>
      <c r="R22" s="8">
        <v>0.23474945533769062</v>
      </c>
      <c r="S22" s="8">
        <f>Tabelle1[[#This Row],[corr_x]]/1000</f>
        <v>7.7193284313725483</v>
      </c>
      <c r="T22" s="8">
        <f>Tabelle1[[#This Row],[corr_y]]/1000</f>
        <v>6.261916666666667</v>
      </c>
      <c r="U22" s="8">
        <f>Tabelle1[[#This Row],[corr_z]]/1000</f>
        <v>11.102941176470589</v>
      </c>
      <c r="V22" s="8">
        <f>Tabelle1[[#This Row],[corr_soma_x]]/1000</f>
        <v>8.3108627450980386</v>
      </c>
      <c r="W22" s="8">
        <f>Tabelle1[[#This Row],[corr_soma_y]]/1000</f>
        <v>6.6194117647058821</v>
      </c>
      <c r="X22" s="8">
        <f>Tabelle1[[#This Row],[corr_soma_z]]/1000</f>
        <v>0.29411764705882354</v>
      </c>
    </row>
    <row r="23" spans="1:24" x14ac:dyDescent="0.35">
      <c r="A23" s="7" t="s">
        <v>5</v>
      </c>
      <c r="B23" s="7" t="s">
        <v>18</v>
      </c>
      <c r="C23" s="6">
        <v>18</v>
      </c>
      <c r="D23" s="1">
        <v>725.96699999999998</v>
      </c>
      <c r="E23" s="1">
        <v>656.19299999999998</v>
      </c>
      <c r="F23" s="1">
        <v>1130</v>
      </c>
      <c r="G23" s="1">
        <v>847.70799999999997</v>
      </c>
      <c r="H23" s="1">
        <v>675.18</v>
      </c>
      <c r="I23" s="1">
        <v>30</v>
      </c>
      <c r="J23" s="2">
        <f>(D23/102)*1000</f>
        <v>7117.3235294117649</v>
      </c>
      <c r="K23" s="2">
        <f>(E23/102)*1000</f>
        <v>6433.2647058823532</v>
      </c>
      <c r="L23" s="2">
        <f>(F23/102)*1000</f>
        <v>11078.431372549019</v>
      </c>
      <c r="M23" s="2">
        <f>(G23/102)*1000</f>
        <v>8310.8627450980384</v>
      </c>
      <c r="N23" s="2">
        <f>(H23/102)*1000</f>
        <v>6619.411764705882</v>
      </c>
      <c r="O23" s="2">
        <f>(I23/102)*1000</f>
        <v>294.11764705882354</v>
      </c>
      <c r="P23" s="8">
        <v>0.15329392541330256</v>
      </c>
      <c r="Q23" s="8">
        <v>2.8955690119184929</v>
      </c>
      <c r="R23" s="8">
        <v>0.2989866265614281</v>
      </c>
      <c r="S23" s="8">
        <f>Tabelle1[[#This Row],[corr_x]]/1000</f>
        <v>7.1173235294117649</v>
      </c>
      <c r="T23" s="8">
        <f>Tabelle1[[#This Row],[corr_y]]/1000</f>
        <v>6.4332647058823529</v>
      </c>
      <c r="U23" s="8">
        <f>Tabelle1[[#This Row],[corr_z]]/1000</f>
        <v>11.078431372549019</v>
      </c>
      <c r="V23" s="8">
        <f>Tabelle1[[#This Row],[corr_soma_x]]/1000</f>
        <v>8.3108627450980386</v>
      </c>
      <c r="W23" s="8">
        <f>Tabelle1[[#This Row],[corr_soma_y]]/1000</f>
        <v>6.6194117647058821</v>
      </c>
      <c r="X23" s="8">
        <f>Tabelle1[[#This Row],[corr_soma_z]]/1000</f>
        <v>0.29411764705882354</v>
      </c>
    </row>
    <row r="24" spans="1:24" x14ac:dyDescent="0.35">
      <c r="A24" s="7" t="s">
        <v>5</v>
      </c>
      <c r="B24" s="7" t="s">
        <v>19</v>
      </c>
      <c r="C24" s="6">
        <v>8</v>
      </c>
      <c r="D24" s="1">
        <v>688.96100000000001</v>
      </c>
      <c r="E24" s="1">
        <v>637.68499999999995</v>
      </c>
      <c r="F24" s="1">
        <v>1140</v>
      </c>
      <c r="G24" s="1">
        <v>847.70799999999997</v>
      </c>
      <c r="H24" s="1">
        <v>675.18</v>
      </c>
      <c r="I24" s="1">
        <v>30</v>
      </c>
      <c r="J24" s="2">
        <f>(D24/102)*1000</f>
        <v>6754.5196078431381</v>
      </c>
      <c r="K24" s="2">
        <f>(E24/102)*1000</f>
        <v>6251.8137254901949</v>
      </c>
      <c r="L24" s="2">
        <f>(F24/102)*1000</f>
        <v>11176.470588235294</v>
      </c>
      <c r="M24" s="2">
        <f>(G24/102)*1000</f>
        <v>8310.8627450980384</v>
      </c>
      <c r="N24" s="2">
        <f>(H24/102)*1000</f>
        <v>6619.411764705882</v>
      </c>
      <c r="O24" s="2">
        <f>(I24/102)*1000</f>
        <v>294.11764705882354</v>
      </c>
      <c r="P24" s="8">
        <v>2.3181564782775856E-2</v>
      </c>
      <c r="Q24" s="8">
        <v>0.39132064590542098</v>
      </c>
      <c r="R24" s="8">
        <v>2.7099588393604268E-2</v>
      </c>
      <c r="S24" s="8">
        <f>Tabelle1[[#This Row],[corr_x]]/1000</f>
        <v>6.7545196078431378</v>
      </c>
      <c r="T24" s="8">
        <f>Tabelle1[[#This Row],[corr_y]]/1000</f>
        <v>6.2518137254901953</v>
      </c>
      <c r="U24" s="8">
        <f>Tabelle1[[#This Row],[corr_z]]/1000</f>
        <v>11.176470588235293</v>
      </c>
      <c r="V24" s="8">
        <f>Tabelle1[[#This Row],[corr_soma_x]]/1000</f>
        <v>8.3108627450980386</v>
      </c>
      <c r="W24" s="8">
        <f>Tabelle1[[#This Row],[corr_soma_y]]/1000</f>
        <v>6.6194117647058821</v>
      </c>
      <c r="X24" s="8">
        <f>Tabelle1[[#This Row],[corr_soma_z]]/1000</f>
        <v>0.29411764705882354</v>
      </c>
    </row>
    <row r="25" spans="1:24" x14ac:dyDescent="0.35">
      <c r="A25" s="7" t="s">
        <v>5</v>
      </c>
      <c r="B25" s="7" t="s">
        <v>18</v>
      </c>
      <c r="C25" s="6">
        <v>19</v>
      </c>
      <c r="D25" s="1">
        <v>756.51300000000003</v>
      </c>
      <c r="E25" s="1">
        <v>641.64750000000004</v>
      </c>
      <c r="F25" s="1">
        <v>1232.5</v>
      </c>
      <c r="G25" s="1">
        <v>847.70799999999997</v>
      </c>
      <c r="H25" s="1">
        <v>675.18</v>
      </c>
      <c r="I25" s="1">
        <v>30</v>
      </c>
      <c r="J25" s="2">
        <f>(D25/102)*1000</f>
        <v>7416.7941176470595</v>
      </c>
      <c r="K25" s="2">
        <f>(E25/102)*1000</f>
        <v>6290.6617647058829</v>
      </c>
      <c r="L25" s="2">
        <f>(F25/102)*1000</f>
        <v>12083.333333333334</v>
      </c>
      <c r="M25" s="2">
        <f>(G25/102)*1000</f>
        <v>8310.8627450980384</v>
      </c>
      <c r="N25" s="2">
        <f>(H25/102)*1000</f>
        <v>6619.411764705882</v>
      </c>
      <c r="O25" s="2">
        <f>(I25/102)*1000</f>
        <v>294.11764705882354</v>
      </c>
      <c r="P25" s="8">
        <v>0.13257689350249904</v>
      </c>
      <c r="Q25" s="8">
        <v>1.5901287966166859</v>
      </c>
      <c r="R25" s="8">
        <v>0.14580647714679873</v>
      </c>
      <c r="S25" s="8">
        <f>Tabelle1[[#This Row],[corr_x]]/1000</f>
        <v>7.4167941176470595</v>
      </c>
      <c r="T25" s="8">
        <f>Tabelle1[[#This Row],[corr_y]]/1000</f>
        <v>6.2906617647058827</v>
      </c>
      <c r="U25" s="8">
        <f>Tabelle1[[#This Row],[corr_z]]/1000</f>
        <v>12.083333333333334</v>
      </c>
      <c r="V25" s="8">
        <f>Tabelle1[[#This Row],[corr_soma_x]]/1000</f>
        <v>8.3108627450980386</v>
      </c>
      <c r="W25" s="8">
        <f>Tabelle1[[#This Row],[corr_soma_y]]/1000</f>
        <v>6.6194117647058821</v>
      </c>
      <c r="X25" s="8">
        <f>Tabelle1[[#This Row],[corr_soma_z]]/1000</f>
        <v>0.29411764705882354</v>
      </c>
    </row>
    <row r="26" spans="1:24" x14ac:dyDescent="0.35">
      <c r="A26" s="7" t="s">
        <v>5</v>
      </c>
      <c r="B26" s="7" t="s">
        <v>18</v>
      </c>
      <c r="C26" s="6">
        <v>20</v>
      </c>
      <c r="D26" s="1">
        <v>778.60550000000001</v>
      </c>
      <c r="E26" s="1">
        <v>682.69149999999991</v>
      </c>
      <c r="F26" s="1">
        <v>1242.5</v>
      </c>
      <c r="G26" s="1">
        <v>847.70799999999997</v>
      </c>
      <c r="H26" s="1">
        <v>675.18</v>
      </c>
      <c r="I26" s="1">
        <v>30</v>
      </c>
      <c r="J26" s="2">
        <f>(D26/102)*1000</f>
        <v>7633.3872549019607</v>
      </c>
      <c r="K26" s="2">
        <f>(E26/102)*1000</f>
        <v>6693.0539215686267</v>
      </c>
      <c r="L26" s="2">
        <f>(F26/102)*1000</f>
        <v>12181.372549019608</v>
      </c>
      <c r="M26" s="2">
        <f>(G26/102)*1000</f>
        <v>8310.8627450980384</v>
      </c>
      <c r="N26" s="2">
        <f>(H26/102)*1000</f>
        <v>6619.411764705882</v>
      </c>
      <c r="O26" s="2">
        <f>(I26/102)*1000</f>
        <v>294.11764705882354</v>
      </c>
      <c r="P26" s="8">
        <v>6.6405709342560557E-2</v>
      </c>
      <c r="Q26" s="8">
        <v>4.3999038831218762</v>
      </c>
      <c r="R26" s="8">
        <v>0.22041484798456099</v>
      </c>
      <c r="S26" s="8">
        <f>Tabelle1[[#This Row],[corr_x]]/1000</f>
        <v>7.6333872549019608</v>
      </c>
      <c r="T26" s="8">
        <f>Tabelle1[[#This Row],[corr_y]]/1000</f>
        <v>6.6930539215686267</v>
      </c>
      <c r="U26" s="8">
        <f>Tabelle1[[#This Row],[corr_z]]/1000</f>
        <v>12.181372549019608</v>
      </c>
      <c r="V26" s="8">
        <f>Tabelle1[[#This Row],[corr_soma_x]]/1000</f>
        <v>8.3108627450980386</v>
      </c>
      <c r="W26" s="8">
        <f>Tabelle1[[#This Row],[corr_soma_y]]/1000</f>
        <v>6.6194117647058821</v>
      </c>
      <c r="X26" s="8">
        <f>Tabelle1[[#This Row],[corr_soma_z]]/1000</f>
        <v>0.29411764705882354</v>
      </c>
    </row>
    <row r="27" spans="1:24" x14ac:dyDescent="0.35">
      <c r="A27" s="7" t="s">
        <v>5</v>
      </c>
      <c r="B27" s="7" t="s">
        <v>18</v>
      </c>
      <c r="C27" s="6">
        <v>21</v>
      </c>
      <c r="D27" s="1">
        <v>976.29399999999998</v>
      </c>
      <c r="E27" s="1">
        <v>665.11300000000006</v>
      </c>
      <c r="F27" s="1">
        <v>1270</v>
      </c>
      <c r="G27" s="1">
        <v>847.70799999999997</v>
      </c>
      <c r="H27" s="1">
        <v>675.18</v>
      </c>
      <c r="I27" s="1">
        <v>30</v>
      </c>
      <c r="J27" s="2">
        <f>(D27/102)*1000</f>
        <v>9571.5098039215682</v>
      </c>
      <c r="K27" s="2">
        <f>(E27/102)*1000</f>
        <v>6520.7156862745105</v>
      </c>
      <c r="L27" s="2">
        <f>(F27/102)*1000</f>
        <v>12450.980392156864</v>
      </c>
      <c r="M27" s="2">
        <f>(G27/102)*1000</f>
        <v>8310.8627450980384</v>
      </c>
      <c r="N27" s="2">
        <f>(H27/102)*1000</f>
        <v>6619.411764705882</v>
      </c>
      <c r="O27" s="2">
        <f>(I27/102)*1000</f>
        <v>294.11764705882354</v>
      </c>
      <c r="P27" s="8">
        <v>4.9930699730872746E-2</v>
      </c>
      <c r="Q27" s="8">
        <v>1.626393694732795</v>
      </c>
      <c r="R27" s="8">
        <v>0.12771388832349548</v>
      </c>
      <c r="S27" s="8">
        <f>Tabelle1[[#This Row],[corr_x]]/1000</f>
        <v>9.5715098039215682</v>
      </c>
      <c r="T27" s="8">
        <f>Tabelle1[[#This Row],[corr_y]]/1000</f>
        <v>6.5207156862745101</v>
      </c>
      <c r="U27" s="8">
        <f>Tabelle1[[#This Row],[corr_z]]/1000</f>
        <v>12.450980392156863</v>
      </c>
      <c r="V27" s="8">
        <f>Tabelle1[[#This Row],[corr_soma_x]]/1000</f>
        <v>8.3108627450980386</v>
      </c>
      <c r="W27" s="8">
        <f>Tabelle1[[#This Row],[corr_soma_y]]/1000</f>
        <v>6.6194117647058821</v>
      </c>
      <c r="X27" s="8">
        <f>Tabelle1[[#This Row],[corr_soma_z]]/1000</f>
        <v>0.29411764705882354</v>
      </c>
    </row>
    <row r="28" spans="1:24" x14ac:dyDescent="0.35">
      <c r="A28" s="7" t="s">
        <v>5</v>
      </c>
      <c r="B28" s="7" t="s">
        <v>18</v>
      </c>
      <c r="C28" s="6">
        <v>22</v>
      </c>
      <c r="D28" s="1">
        <v>1015.11</v>
      </c>
      <c r="E28" s="1">
        <v>649.75900000000001</v>
      </c>
      <c r="F28" s="1">
        <v>1350</v>
      </c>
      <c r="G28" s="1">
        <v>847.70799999999997</v>
      </c>
      <c r="H28" s="1">
        <v>675.18</v>
      </c>
      <c r="I28" s="1">
        <v>30</v>
      </c>
      <c r="J28" s="2">
        <f>(D28/102)*1000</f>
        <v>9952.0588235294126</v>
      </c>
      <c r="K28" s="2">
        <f>(E28/102)*1000</f>
        <v>6370.1862745098033</v>
      </c>
      <c r="L28" s="2">
        <f>(F28/102)*1000</f>
        <v>13235.294117647058</v>
      </c>
      <c r="M28" s="2">
        <f>(G28/102)*1000</f>
        <v>8310.8627450980384</v>
      </c>
      <c r="N28" s="2">
        <f>(H28/102)*1000</f>
        <v>6619.411764705882</v>
      </c>
      <c r="O28" s="2">
        <f>(I28/102)*1000</f>
        <v>294.11764705882354</v>
      </c>
      <c r="P28" s="8">
        <v>0.15741830065359477</v>
      </c>
      <c r="Q28" s="8">
        <v>2.1601787773933103</v>
      </c>
      <c r="R28" s="8">
        <v>0.14517323653798314</v>
      </c>
      <c r="S28" s="8">
        <f>Tabelle1[[#This Row],[corr_x]]/1000</f>
        <v>9.9520588235294127</v>
      </c>
      <c r="T28" s="8">
        <f>Tabelle1[[#This Row],[corr_y]]/1000</f>
        <v>6.3701862745098037</v>
      </c>
      <c r="U28" s="8">
        <f>Tabelle1[[#This Row],[corr_z]]/1000</f>
        <v>13.235294117647058</v>
      </c>
      <c r="V28" s="8">
        <f>Tabelle1[[#This Row],[corr_soma_x]]/1000</f>
        <v>8.3108627450980386</v>
      </c>
      <c r="W28" s="8">
        <f>Tabelle1[[#This Row],[corr_soma_y]]/1000</f>
        <v>6.6194117647058821</v>
      </c>
      <c r="X28" s="8">
        <f>Tabelle1[[#This Row],[corr_soma_z]]/1000</f>
        <v>0.29411764705882354</v>
      </c>
    </row>
    <row r="29" spans="1:24" x14ac:dyDescent="0.35">
      <c r="A29" s="7" t="s">
        <v>5</v>
      </c>
      <c r="B29" s="7" t="s">
        <v>18</v>
      </c>
      <c r="C29" s="6">
        <v>23</v>
      </c>
      <c r="D29" s="1">
        <v>1049.1099999999999</v>
      </c>
      <c r="E29" s="1">
        <v>674.32500000000005</v>
      </c>
      <c r="F29" s="1">
        <v>1405</v>
      </c>
      <c r="G29" s="1">
        <v>847.70799999999997</v>
      </c>
      <c r="H29" s="1">
        <v>675.18</v>
      </c>
      <c r="I29" s="1">
        <v>30</v>
      </c>
      <c r="J29" s="2">
        <f>(D29/102)*1000</f>
        <v>10285.392156862745</v>
      </c>
      <c r="K29" s="2">
        <f>(E29/102)*1000</f>
        <v>6611.0294117647063</v>
      </c>
      <c r="L29" s="2">
        <f>(F29/102)*1000</f>
        <v>13774.50980392157</v>
      </c>
      <c r="M29" s="2">
        <f>(G29/102)*1000</f>
        <v>8310.8627450980384</v>
      </c>
      <c r="N29" s="2">
        <f>(H29/102)*1000</f>
        <v>6619.411764705882</v>
      </c>
      <c r="O29" s="2">
        <f>(I29/102)*1000</f>
        <v>294.11764705882354</v>
      </c>
      <c r="P29" s="8">
        <v>6.141887735486351E-2</v>
      </c>
      <c r="Q29" s="8">
        <v>2.7510765090349865</v>
      </c>
      <c r="R29" s="8">
        <v>0.33922002095724874</v>
      </c>
      <c r="S29" s="8">
        <f>Tabelle1[[#This Row],[corr_x]]/1000</f>
        <v>10.285392156862745</v>
      </c>
      <c r="T29" s="8">
        <f>Tabelle1[[#This Row],[corr_y]]/1000</f>
        <v>6.6110294117647062</v>
      </c>
      <c r="U29" s="8">
        <f>Tabelle1[[#This Row],[corr_z]]/1000</f>
        <v>13.774509803921569</v>
      </c>
      <c r="V29" s="8">
        <f>Tabelle1[[#This Row],[corr_soma_x]]/1000</f>
        <v>8.3108627450980386</v>
      </c>
      <c r="W29" s="8">
        <f>Tabelle1[[#This Row],[corr_soma_y]]/1000</f>
        <v>6.6194117647058821</v>
      </c>
      <c r="X29" s="8">
        <f>Tabelle1[[#This Row],[corr_soma_z]]/1000</f>
        <v>0.29411764705882354</v>
      </c>
    </row>
    <row r="30" spans="1:24" x14ac:dyDescent="0.35">
      <c r="A30" s="7" t="s">
        <v>5</v>
      </c>
      <c r="B30" s="7" t="s">
        <v>19</v>
      </c>
      <c r="C30" s="6">
        <v>9</v>
      </c>
      <c r="D30" s="1">
        <v>997.18499999999995</v>
      </c>
      <c r="E30" s="1">
        <v>682.58799999999997</v>
      </c>
      <c r="F30" s="1">
        <v>1370</v>
      </c>
      <c r="G30" s="1">
        <v>847.70799999999997</v>
      </c>
      <c r="H30" s="1">
        <v>675.18</v>
      </c>
      <c r="I30" s="1">
        <v>30</v>
      </c>
      <c r="J30" s="2">
        <f>(D30/102)*1000</f>
        <v>9776.323529411764</v>
      </c>
      <c r="K30" s="2">
        <f>(E30/102)*1000</f>
        <v>6692.0392156862745</v>
      </c>
      <c r="L30" s="2">
        <f>(F30/102)*1000</f>
        <v>13431.372549019608</v>
      </c>
      <c r="M30" s="2">
        <f>(G30/102)*1000</f>
        <v>8310.8627450980384</v>
      </c>
      <c r="N30" s="2">
        <f>(H30/102)*1000</f>
        <v>6619.411764705882</v>
      </c>
      <c r="O30" s="2">
        <f>(I30/102)*1000</f>
        <v>294.11764705882354</v>
      </c>
      <c r="P30" s="8">
        <v>3.3698000768935026E-2</v>
      </c>
      <c r="Q30" s="8">
        <v>0.77428008458285269</v>
      </c>
      <c r="R30" s="8">
        <v>8.1642524368455566E-2</v>
      </c>
      <c r="S30" s="8">
        <f>Tabelle1[[#This Row],[corr_x]]/1000</f>
        <v>9.7763235294117639</v>
      </c>
      <c r="T30" s="8">
        <f>Tabelle1[[#This Row],[corr_y]]/1000</f>
        <v>6.6920392156862745</v>
      </c>
      <c r="U30" s="8">
        <f>Tabelle1[[#This Row],[corr_z]]/1000</f>
        <v>13.431372549019608</v>
      </c>
      <c r="V30" s="8">
        <f>Tabelle1[[#This Row],[corr_soma_x]]/1000</f>
        <v>8.3108627450980386</v>
      </c>
      <c r="W30" s="8">
        <f>Tabelle1[[#This Row],[corr_soma_y]]/1000</f>
        <v>6.6194117647058821</v>
      </c>
      <c r="X30" s="8">
        <f>Tabelle1[[#This Row],[corr_soma_z]]/1000</f>
        <v>0.29411764705882354</v>
      </c>
    </row>
    <row r="31" spans="1:24" x14ac:dyDescent="0.35">
      <c r="A31" s="7" t="s">
        <v>5</v>
      </c>
      <c r="B31" s="7" t="s">
        <v>18</v>
      </c>
      <c r="C31" s="6">
        <v>24</v>
      </c>
      <c r="D31" s="1">
        <v>1048.4000000000001</v>
      </c>
      <c r="E31" s="1">
        <v>661.529</v>
      </c>
      <c r="F31" s="1">
        <v>1485</v>
      </c>
      <c r="G31" s="1">
        <v>847.70799999999997</v>
      </c>
      <c r="H31" s="1">
        <v>675.18</v>
      </c>
      <c r="I31" s="1">
        <v>30</v>
      </c>
      <c r="J31" s="2">
        <f>(D31/102)*1000</f>
        <v>10278.431372549021</v>
      </c>
      <c r="K31" s="2">
        <f>(E31/102)*1000</f>
        <v>6485.5784313725489</v>
      </c>
      <c r="L31" s="2">
        <f>(F31/102)*1000</f>
        <v>14558.823529411764</v>
      </c>
      <c r="M31" s="2">
        <f>(G31/102)*1000</f>
        <v>8310.8627450980384</v>
      </c>
      <c r="N31" s="2">
        <f>(H31/102)*1000</f>
        <v>6619.411764705882</v>
      </c>
      <c r="O31" s="2">
        <f>(I31/102)*1000</f>
        <v>294.11764705882354</v>
      </c>
      <c r="P31" s="8">
        <v>6.3948961937716264E-2</v>
      </c>
      <c r="Q31" s="8">
        <v>1.7155420991926182</v>
      </c>
      <c r="R31" s="8">
        <v>0.1621783853872191</v>
      </c>
      <c r="S31" s="8">
        <f>Tabelle1[[#This Row],[corr_x]]/1000</f>
        <v>10.27843137254902</v>
      </c>
      <c r="T31" s="8">
        <f>Tabelle1[[#This Row],[corr_y]]/1000</f>
        <v>6.4855784313725486</v>
      </c>
      <c r="U31" s="8">
        <f>Tabelle1[[#This Row],[corr_z]]/1000</f>
        <v>14.558823529411764</v>
      </c>
      <c r="V31" s="8">
        <f>Tabelle1[[#This Row],[corr_soma_x]]/1000</f>
        <v>8.3108627450980386</v>
      </c>
      <c r="W31" s="8">
        <f>Tabelle1[[#This Row],[corr_soma_y]]/1000</f>
        <v>6.6194117647058821</v>
      </c>
      <c r="X31" s="8">
        <f>Tabelle1[[#This Row],[corr_soma_z]]/1000</f>
        <v>0.29411764705882354</v>
      </c>
    </row>
    <row r="32" spans="1:24" x14ac:dyDescent="0.35">
      <c r="A32" s="7" t="s">
        <v>5</v>
      </c>
      <c r="B32" s="7" t="s">
        <v>18</v>
      </c>
      <c r="C32" s="6">
        <v>25</v>
      </c>
      <c r="D32" s="1">
        <v>1060.46</v>
      </c>
      <c r="E32" s="1">
        <v>618.24300000000005</v>
      </c>
      <c r="F32" s="1">
        <v>1545</v>
      </c>
      <c r="G32" s="1">
        <v>847.70799999999997</v>
      </c>
      <c r="H32" s="1">
        <v>675.18</v>
      </c>
      <c r="I32" s="1">
        <v>30</v>
      </c>
      <c r="J32" s="2">
        <f>(D32/102)*1000</f>
        <v>10396.666666666666</v>
      </c>
      <c r="K32" s="2">
        <f>(E32/102)*1000</f>
        <v>6061.2058823529424</v>
      </c>
      <c r="L32" s="2">
        <f>(F32/102)*1000</f>
        <v>15147.058823529411</v>
      </c>
      <c r="M32" s="2">
        <f>(G32/102)*1000</f>
        <v>8310.8627450980384</v>
      </c>
      <c r="N32" s="2">
        <f>(H32/102)*1000</f>
        <v>6619.411764705882</v>
      </c>
      <c r="O32" s="2">
        <f>(I32/102)*1000</f>
        <v>294.11764705882354</v>
      </c>
      <c r="P32" s="8">
        <v>6.5208477508650511E-2</v>
      </c>
      <c r="Q32" s="8">
        <v>1.5060938100730488</v>
      </c>
      <c r="R32" s="8">
        <v>8.5550146625355261E-2</v>
      </c>
      <c r="S32" s="8">
        <f>Tabelle1[[#This Row],[corr_x]]/1000</f>
        <v>10.396666666666667</v>
      </c>
      <c r="T32" s="8">
        <f>Tabelle1[[#This Row],[corr_y]]/1000</f>
        <v>6.061205882352942</v>
      </c>
      <c r="U32" s="8">
        <f>Tabelle1[[#This Row],[corr_z]]/1000</f>
        <v>15.147058823529411</v>
      </c>
      <c r="V32" s="8">
        <f>Tabelle1[[#This Row],[corr_soma_x]]/1000</f>
        <v>8.3108627450980386</v>
      </c>
      <c r="W32" s="8">
        <f>Tabelle1[[#This Row],[corr_soma_y]]/1000</f>
        <v>6.6194117647058821</v>
      </c>
      <c r="X32" s="8">
        <f>Tabelle1[[#This Row],[corr_soma_z]]/1000</f>
        <v>0.29411764705882354</v>
      </c>
    </row>
    <row r="33" spans="1:24" x14ac:dyDescent="0.35">
      <c r="A33" s="7" t="s">
        <v>5</v>
      </c>
      <c r="B33" s="7" t="s">
        <v>18</v>
      </c>
      <c r="C33" s="6">
        <v>26</v>
      </c>
      <c r="D33" s="1">
        <v>1035.5650000000001</v>
      </c>
      <c r="E33" s="1">
        <v>615.8605</v>
      </c>
      <c r="F33" s="1">
        <v>1607.5</v>
      </c>
      <c r="G33" s="1">
        <v>847.70799999999997</v>
      </c>
      <c r="H33" s="1">
        <v>675.18</v>
      </c>
      <c r="I33" s="1">
        <v>30</v>
      </c>
      <c r="J33" s="2">
        <f>(D33/102)*1000</f>
        <v>10152.598039215685</v>
      </c>
      <c r="K33" s="2">
        <f>(E33/102)*1000</f>
        <v>6037.8480392156862</v>
      </c>
      <c r="L33" s="2">
        <f>(F33/102)*1000</f>
        <v>15759.803921568628</v>
      </c>
      <c r="M33" s="2">
        <f>(G33/102)*1000</f>
        <v>8310.8627450980384</v>
      </c>
      <c r="N33" s="2">
        <f>(H33/102)*1000</f>
        <v>6619.411764705882</v>
      </c>
      <c r="O33" s="2">
        <f>(I33/102)*1000</f>
        <v>294.11764705882354</v>
      </c>
      <c r="P33" s="8">
        <v>8.8849288735101881E-2</v>
      </c>
      <c r="Q33" s="8">
        <v>2.5331987697039602</v>
      </c>
      <c r="R33" s="8">
        <v>0.21732685769425034</v>
      </c>
      <c r="S33" s="8">
        <f>Tabelle1[[#This Row],[corr_x]]/1000</f>
        <v>10.152598039215686</v>
      </c>
      <c r="T33" s="8">
        <f>Tabelle1[[#This Row],[corr_y]]/1000</f>
        <v>6.0378480392156861</v>
      </c>
      <c r="U33" s="8">
        <f>Tabelle1[[#This Row],[corr_z]]/1000</f>
        <v>15.759803921568627</v>
      </c>
      <c r="V33" s="8">
        <f>Tabelle1[[#This Row],[corr_soma_x]]/1000</f>
        <v>8.3108627450980386</v>
      </c>
      <c r="W33" s="8">
        <f>Tabelle1[[#This Row],[corr_soma_y]]/1000</f>
        <v>6.6194117647058821</v>
      </c>
      <c r="X33" s="8">
        <f>Tabelle1[[#This Row],[corr_soma_z]]/1000</f>
        <v>0.29411764705882354</v>
      </c>
    </row>
    <row r="34" spans="1:24" x14ac:dyDescent="0.35">
      <c r="A34" s="7" t="s">
        <v>5</v>
      </c>
      <c r="B34" s="7" t="s">
        <v>18</v>
      </c>
      <c r="C34" s="6">
        <v>27</v>
      </c>
      <c r="D34" s="1">
        <v>1087.9000000000001</v>
      </c>
      <c r="E34" s="1">
        <v>604.96299999999997</v>
      </c>
      <c r="F34" s="1">
        <v>1660</v>
      </c>
      <c r="G34" s="1">
        <v>847.70799999999997</v>
      </c>
      <c r="H34" s="1">
        <v>675.18</v>
      </c>
      <c r="I34" s="1">
        <v>30</v>
      </c>
      <c r="J34" s="2">
        <f>(D34/102)*1000</f>
        <v>10665.686274509804</v>
      </c>
      <c r="K34" s="2">
        <f>(E34/102)*1000</f>
        <v>5931.0098039215682</v>
      </c>
      <c r="L34" s="2">
        <f>(F34/102)*1000</f>
        <v>16274.509803921568</v>
      </c>
      <c r="M34" s="2">
        <f>(G34/102)*1000</f>
        <v>8310.8627450980384</v>
      </c>
      <c r="N34" s="2">
        <f>(H34/102)*1000</f>
        <v>6619.411764705882</v>
      </c>
      <c r="O34" s="2">
        <f>(I34/102)*1000</f>
        <v>294.11764705882354</v>
      </c>
      <c r="P34" s="8">
        <v>7.3092560553633223E-2</v>
      </c>
      <c r="Q34" s="8">
        <v>1.8730872741253364</v>
      </c>
      <c r="R34" s="8">
        <v>0.2146845858681804</v>
      </c>
      <c r="S34" s="8">
        <f>Tabelle1[[#This Row],[corr_x]]/1000</f>
        <v>10.665686274509804</v>
      </c>
      <c r="T34" s="8">
        <f>Tabelle1[[#This Row],[corr_y]]/1000</f>
        <v>5.931009803921568</v>
      </c>
      <c r="U34" s="8">
        <f>Tabelle1[[#This Row],[corr_z]]/1000</f>
        <v>16.274509803921568</v>
      </c>
      <c r="V34" s="8">
        <f>Tabelle1[[#This Row],[corr_soma_x]]/1000</f>
        <v>8.3108627450980386</v>
      </c>
      <c r="W34" s="8">
        <f>Tabelle1[[#This Row],[corr_soma_y]]/1000</f>
        <v>6.6194117647058821</v>
      </c>
      <c r="X34" s="8">
        <f>Tabelle1[[#This Row],[corr_soma_z]]/1000</f>
        <v>0.29411764705882354</v>
      </c>
    </row>
    <row r="35" spans="1:24" x14ac:dyDescent="0.35">
      <c r="A35" s="7" t="s">
        <v>5</v>
      </c>
      <c r="B35" s="7" t="s">
        <v>18</v>
      </c>
      <c r="C35" s="6">
        <v>28</v>
      </c>
      <c r="D35" s="1">
        <v>1077.96</v>
      </c>
      <c r="E35" s="1">
        <v>605.77599999999995</v>
      </c>
      <c r="F35" s="1">
        <v>1725</v>
      </c>
      <c r="G35" s="1">
        <v>847.70799999999997</v>
      </c>
      <c r="H35" s="1">
        <v>675.18</v>
      </c>
      <c r="I35" s="1">
        <v>30</v>
      </c>
      <c r="J35" s="2">
        <f>(D35/102)*1000</f>
        <v>10568.235294117647</v>
      </c>
      <c r="K35" s="2">
        <f>(E35/102)*1000</f>
        <v>5938.9803921568628</v>
      </c>
      <c r="L35" s="2">
        <f>(F35/102)*1000</f>
        <v>16911.764705882353</v>
      </c>
      <c r="M35" s="2">
        <f>(G35/102)*1000</f>
        <v>8310.8627450980384</v>
      </c>
      <c r="N35" s="2">
        <f>(H35/102)*1000</f>
        <v>6619.411764705882</v>
      </c>
      <c r="O35" s="2">
        <f>(I35/102)*1000</f>
        <v>294.11764705882354</v>
      </c>
      <c r="P35" s="8">
        <v>7.8019800076893492E-2</v>
      </c>
      <c r="Q35" s="8">
        <v>1.2403114186851212</v>
      </c>
      <c r="R35" s="8">
        <v>9.6507941892635563E-2</v>
      </c>
      <c r="S35" s="8">
        <f>Tabelle1[[#This Row],[corr_x]]/1000</f>
        <v>10.568235294117647</v>
      </c>
      <c r="T35" s="8">
        <f>Tabelle1[[#This Row],[corr_y]]/1000</f>
        <v>5.9389803921568625</v>
      </c>
      <c r="U35" s="8">
        <f>Tabelle1[[#This Row],[corr_z]]/1000</f>
        <v>16.911764705882351</v>
      </c>
      <c r="V35" s="8">
        <f>Tabelle1[[#This Row],[corr_soma_x]]/1000</f>
        <v>8.3108627450980386</v>
      </c>
      <c r="W35" s="8">
        <f>Tabelle1[[#This Row],[corr_soma_y]]/1000</f>
        <v>6.6194117647058821</v>
      </c>
      <c r="X35" s="8">
        <f>Tabelle1[[#This Row],[corr_soma_z]]/1000</f>
        <v>0.29411764705882354</v>
      </c>
    </row>
    <row r="36" spans="1:24" x14ac:dyDescent="0.35">
      <c r="A36" s="7" t="s">
        <v>5</v>
      </c>
      <c r="B36" s="7" t="s">
        <v>18</v>
      </c>
      <c r="C36" s="6">
        <v>29</v>
      </c>
      <c r="D36" s="1">
        <v>873.75750000000005</v>
      </c>
      <c r="E36" s="1">
        <v>659.50800000000004</v>
      </c>
      <c r="F36" s="1">
        <v>1852.5</v>
      </c>
      <c r="G36" s="1">
        <v>847.70799999999997</v>
      </c>
      <c r="H36" s="1">
        <v>675.18</v>
      </c>
      <c r="I36" s="1">
        <v>30</v>
      </c>
      <c r="J36" s="2">
        <f>(D36/102)*1000</f>
        <v>8566.25</v>
      </c>
      <c r="K36" s="2">
        <f>(E36/102)*1000</f>
        <v>6465.7647058823532</v>
      </c>
      <c r="L36" s="2">
        <f>(F36/102)*1000</f>
        <v>18161.764705882353</v>
      </c>
      <c r="M36" s="2">
        <f>(G36/102)*1000</f>
        <v>8310.8627450980384</v>
      </c>
      <c r="N36" s="2">
        <f>(H36/102)*1000</f>
        <v>6619.411764705882</v>
      </c>
      <c r="O36" s="2">
        <f>(I36/102)*1000</f>
        <v>294.11764705882354</v>
      </c>
      <c r="P36" s="8">
        <v>0.17391868512110728</v>
      </c>
      <c r="Q36" s="8">
        <v>3.1893694732795077</v>
      </c>
      <c r="R36" s="8">
        <v>0.25007067417509105</v>
      </c>
      <c r="S36" s="8">
        <f>Tabelle1[[#This Row],[corr_x]]/1000</f>
        <v>8.5662500000000001</v>
      </c>
      <c r="T36" s="8">
        <f>Tabelle1[[#This Row],[corr_y]]/1000</f>
        <v>6.4657647058823535</v>
      </c>
      <c r="U36" s="8">
        <f>Tabelle1[[#This Row],[corr_z]]/1000</f>
        <v>18.161764705882351</v>
      </c>
      <c r="V36" s="8">
        <f>Tabelle1[[#This Row],[corr_soma_x]]/1000</f>
        <v>8.3108627450980386</v>
      </c>
      <c r="W36" s="8">
        <f>Tabelle1[[#This Row],[corr_soma_y]]/1000</f>
        <v>6.6194117647058821</v>
      </c>
      <c r="X36" s="8">
        <f>Tabelle1[[#This Row],[corr_soma_z]]/1000</f>
        <v>0.29411764705882354</v>
      </c>
    </row>
    <row r="37" spans="1:24" x14ac:dyDescent="0.35">
      <c r="A37" s="7" t="s">
        <v>5</v>
      </c>
      <c r="B37" s="7" t="s">
        <v>18</v>
      </c>
      <c r="C37" s="6">
        <v>30</v>
      </c>
      <c r="D37" s="1">
        <v>909.75400000000002</v>
      </c>
      <c r="E37" s="1">
        <v>631.47199999999998</v>
      </c>
      <c r="F37" s="1">
        <v>1927.5</v>
      </c>
      <c r="G37" s="1">
        <v>847.70799999999997</v>
      </c>
      <c r="H37" s="1">
        <v>675.18</v>
      </c>
      <c r="I37" s="1">
        <v>30</v>
      </c>
      <c r="J37" s="2">
        <f>(D37/102)*1000</f>
        <v>8919.1568627450979</v>
      </c>
      <c r="K37" s="2">
        <f>(E37/102)*1000</f>
        <v>6190.9019607843138</v>
      </c>
      <c r="L37" s="2">
        <f>(F37/102)*1000</f>
        <v>18897.058823529413</v>
      </c>
      <c r="M37" s="2">
        <f>(G37/102)*1000</f>
        <v>8310.8627450980384</v>
      </c>
      <c r="N37" s="2">
        <f>(H37/102)*1000</f>
        <v>6619.411764705882</v>
      </c>
      <c r="O37" s="2">
        <f>(I37/102)*1000</f>
        <v>294.11764705882354</v>
      </c>
      <c r="P37" s="8">
        <v>0.14469242599000384</v>
      </c>
      <c r="Q37" s="8">
        <v>1.7441176470588236</v>
      </c>
      <c r="R37" s="8">
        <v>0.18242135377795871</v>
      </c>
      <c r="S37" s="8">
        <f>Tabelle1[[#This Row],[corr_x]]/1000</f>
        <v>8.9191568627450977</v>
      </c>
      <c r="T37" s="8">
        <f>Tabelle1[[#This Row],[corr_y]]/1000</f>
        <v>6.1909019607843137</v>
      </c>
      <c r="U37" s="8">
        <f>Tabelle1[[#This Row],[corr_z]]/1000</f>
        <v>18.897058823529413</v>
      </c>
      <c r="V37" s="8">
        <f>Tabelle1[[#This Row],[corr_soma_x]]/1000</f>
        <v>8.3108627450980386</v>
      </c>
      <c r="W37" s="8">
        <f>Tabelle1[[#This Row],[corr_soma_y]]/1000</f>
        <v>6.6194117647058821</v>
      </c>
      <c r="X37" s="8">
        <f>Tabelle1[[#This Row],[corr_soma_z]]/1000</f>
        <v>0.29411764705882354</v>
      </c>
    </row>
    <row r="38" spans="1:24" x14ac:dyDescent="0.35">
      <c r="A38" s="7" t="s">
        <v>5</v>
      </c>
      <c r="B38" s="7" t="s">
        <v>18</v>
      </c>
      <c r="C38" s="6">
        <v>31</v>
      </c>
      <c r="D38" s="1">
        <v>903.32999999999993</v>
      </c>
      <c r="E38" s="1">
        <v>660.35699999999997</v>
      </c>
      <c r="F38" s="1">
        <v>1927.5</v>
      </c>
      <c r="G38" s="1">
        <v>847.70799999999997</v>
      </c>
      <c r="H38" s="1">
        <v>675.18</v>
      </c>
      <c r="I38" s="1">
        <v>30</v>
      </c>
      <c r="J38" s="2">
        <f>(D38/102)*1000</f>
        <v>8856.1764705882342</v>
      </c>
      <c r="K38" s="2">
        <f>(E38/102)*1000</f>
        <v>6474.088235294118</v>
      </c>
      <c r="L38" s="2">
        <f>(F38/102)*1000</f>
        <v>18897.058823529413</v>
      </c>
      <c r="M38" s="2">
        <f>(G38/102)*1000</f>
        <v>8310.8627450980384</v>
      </c>
      <c r="N38" s="2">
        <f>(H38/102)*1000</f>
        <v>6619.411764705882</v>
      </c>
      <c r="O38" s="2">
        <f>(I38/102)*1000</f>
        <v>294.11764705882354</v>
      </c>
      <c r="P38" s="8">
        <v>5.060332564398308E-2</v>
      </c>
      <c r="Q38" s="8">
        <v>1.0469338715878507</v>
      </c>
      <c r="R38" s="8">
        <v>8.6428014112219287E-2</v>
      </c>
      <c r="S38" s="8">
        <f>Tabelle1[[#This Row],[corr_x]]/1000</f>
        <v>8.8561764705882347</v>
      </c>
      <c r="T38" s="8">
        <f>Tabelle1[[#This Row],[corr_y]]/1000</f>
        <v>6.4740882352941176</v>
      </c>
      <c r="U38" s="8">
        <f>Tabelle1[[#This Row],[corr_z]]/1000</f>
        <v>18.897058823529413</v>
      </c>
      <c r="V38" s="8">
        <f>Tabelle1[[#This Row],[corr_soma_x]]/1000</f>
        <v>8.3108627450980386</v>
      </c>
      <c r="W38" s="8">
        <f>Tabelle1[[#This Row],[corr_soma_y]]/1000</f>
        <v>6.6194117647058821</v>
      </c>
      <c r="X38" s="8">
        <f>Tabelle1[[#This Row],[corr_soma_z]]/1000</f>
        <v>0.29411764705882354</v>
      </c>
    </row>
    <row r="39" spans="1:24" x14ac:dyDescent="0.35">
      <c r="A39" s="7" t="s">
        <v>5</v>
      </c>
      <c r="B39" s="7" t="s">
        <v>18</v>
      </c>
      <c r="C39" s="6">
        <v>32</v>
      </c>
      <c r="D39" s="1">
        <v>945.12599999999998</v>
      </c>
      <c r="E39" s="1">
        <v>653.68399999999997</v>
      </c>
      <c r="F39" s="1">
        <v>1982.5</v>
      </c>
      <c r="G39" s="1">
        <v>847.70799999999997</v>
      </c>
      <c r="H39" s="1">
        <v>675.18</v>
      </c>
      <c r="I39" s="1">
        <v>30</v>
      </c>
      <c r="J39" s="2">
        <f>(D39/102)*1000</f>
        <v>9265.9411764705874</v>
      </c>
      <c r="K39" s="2">
        <f>(E39/102)*1000</f>
        <v>6408.6666666666661</v>
      </c>
      <c r="L39" s="2">
        <f>(F39/102)*1000</f>
        <v>19436.274509803923</v>
      </c>
      <c r="M39" s="2">
        <f>(G39/102)*1000</f>
        <v>8310.8627450980384</v>
      </c>
      <c r="N39" s="2">
        <f>(H39/102)*1000</f>
        <v>6619.411764705882</v>
      </c>
      <c r="O39" s="2">
        <f>(I39/102)*1000</f>
        <v>294.11764705882354</v>
      </c>
      <c r="P39" s="8">
        <v>3.2084102268358325E-2</v>
      </c>
      <c r="Q39" s="8">
        <v>0.46057958477508648</v>
      </c>
      <c r="R39" s="8">
        <v>2.2438673662467677E-2</v>
      </c>
      <c r="S39" s="8">
        <f>Tabelle1[[#This Row],[corr_x]]/1000</f>
        <v>9.2659411764705872</v>
      </c>
      <c r="T39" s="8">
        <f>Tabelle1[[#This Row],[corr_y]]/1000</f>
        <v>6.4086666666666661</v>
      </c>
      <c r="U39" s="8">
        <f>Tabelle1[[#This Row],[corr_z]]/1000</f>
        <v>19.436274509803923</v>
      </c>
      <c r="V39" s="8">
        <f>Tabelle1[[#This Row],[corr_soma_x]]/1000</f>
        <v>8.3108627450980386</v>
      </c>
      <c r="W39" s="8">
        <f>Tabelle1[[#This Row],[corr_soma_y]]/1000</f>
        <v>6.6194117647058821</v>
      </c>
      <c r="X39" s="8">
        <f>Tabelle1[[#This Row],[corr_soma_z]]/1000</f>
        <v>0.29411764705882354</v>
      </c>
    </row>
    <row r="40" spans="1:24" x14ac:dyDescent="0.35">
      <c r="A40" s="7" t="s">
        <v>5</v>
      </c>
      <c r="B40" s="7" t="s">
        <v>18</v>
      </c>
      <c r="C40" s="6">
        <v>33</v>
      </c>
      <c r="D40" s="1">
        <v>965.99</v>
      </c>
      <c r="E40" s="1">
        <v>667.14200000000005</v>
      </c>
      <c r="F40" s="1">
        <v>2017.5</v>
      </c>
      <c r="G40" s="1">
        <v>847.70799999999997</v>
      </c>
      <c r="H40" s="1">
        <v>675.18</v>
      </c>
      <c r="I40" s="1">
        <v>30</v>
      </c>
      <c r="J40" s="2">
        <f>(D40/102)*1000</f>
        <v>9470.4901960784318</v>
      </c>
      <c r="K40" s="2">
        <f>(E40/102)*1000</f>
        <v>6540.6078431372553</v>
      </c>
      <c r="L40" s="2">
        <f>(F40/102)*1000</f>
        <v>19779.411764705885</v>
      </c>
      <c r="M40" s="2">
        <f>(G40/102)*1000</f>
        <v>8310.8627450980384</v>
      </c>
      <c r="N40" s="2">
        <f>(H40/102)*1000</f>
        <v>6619.411764705882</v>
      </c>
      <c r="O40" s="2">
        <f>(I40/102)*1000</f>
        <v>294.11764705882354</v>
      </c>
      <c r="P40" s="8">
        <v>0.16595924644367552</v>
      </c>
      <c r="Q40" s="8">
        <v>2.4261822376009228</v>
      </c>
      <c r="R40" s="8">
        <v>0.25362040240932976</v>
      </c>
      <c r="S40" s="8">
        <f>Tabelle1[[#This Row],[corr_x]]/1000</f>
        <v>9.4704901960784316</v>
      </c>
      <c r="T40" s="8">
        <f>Tabelle1[[#This Row],[corr_y]]/1000</f>
        <v>6.5406078431372556</v>
      </c>
      <c r="U40" s="8">
        <f>Tabelle1[[#This Row],[corr_z]]/1000</f>
        <v>19.779411764705884</v>
      </c>
      <c r="V40" s="8">
        <f>Tabelle1[[#This Row],[corr_soma_x]]/1000</f>
        <v>8.3108627450980386</v>
      </c>
      <c r="W40" s="8">
        <f>Tabelle1[[#This Row],[corr_soma_y]]/1000</f>
        <v>6.6194117647058821</v>
      </c>
      <c r="X40" s="8">
        <f>Tabelle1[[#This Row],[corr_soma_z]]/1000</f>
        <v>0.29411764705882354</v>
      </c>
    </row>
    <row r="41" spans="1:24" x14ac:dyDescent="0.35">
      <c r="A41" s="7" t="s">
        <v>5</v>
      </c>
      <c r="B41" s="7" t="s">
        <v>18</v>
      </c>
      <c r="C41" s="6">
        <v>34</v>
      </c>
      <c r="D41" s="1">
        <v>890.15099999999995</v>
      </c>
      <c r="E41" s="1">
        <v>670.45</v>
      </c>
      <c r="F41" s="1">
        <v>2065</v>
      </c>
      <c r="G41" s="1">
        <v>847.70799999999997</v>
      </c>
      <c r="H41" s="1">
        <v>675.18</v>
      </c>
      <c r="I41" s="1">
        <v>30</v>
      </c>
      <c r="J41" s="2">
        <f>(D41/102)*1000</f>
        <v>8726.9705882352937</v>
      </c>
      <c r="K41" s="2">
        <f>(E41/102)*1000</f>
        <v>6573.0392156862745</v>
      </c>
      <c r="L41" s="2">
        <f>(F41/102)*1000</f>
        <v>20245.098039215689</v>
      </c>
      <c r="M41" s="2">
        <f>(G41/102)*1000</f>
        <v>8310.8627450980384</v>
      </c>
      <c r="N41" s="2">
        <f>(H41/102)*1000</f>
        <v>6619.411764705882</v>
      </c>
      <c r="O41" s="2">
        <f>(I41/102)*1000</f>
        <v>294.11764705882354</v>
      </c>
      <c r="P41" s="8">
        <v>0.10653402537485583</v>
      </c>
      <c r="Q41" s="8">
        <v>0.72837946943483278</v>
      </c>
      <c r="R41" s="8">
        <v>5.6158359152965298E-2</v>
      </c>
      <c r="S41" s="8">
        <f>Tabelle1[[#This Row],[corr_x]]/1000</f>
        <v>8.726970588235293</v>
      </c>
      <c r="T41" s="8">
        <f>Tabelle1[[#This Row],[corr_y]]/1000</f>
        <v>6.5730392156862747</v>
      </c>
      <c r="U41" s="8">
        <f>Tabelle1[[#This Row],[corr_z]]/1000</f>
        <v>20.245098039215687</v>
      </c>
      <c r="V41" s="8">
        <f>Tabelle1[[#This Row],[corr_soma_x]]/1000</f>
        <v>8.3108627450980386</v>
      </c>
      <c r="W41" s="8">
        <f>Tabelle1[[#This Row],[corr_soma_y]]/1000</f>
        <v>6.6194117647058821</v>
      </c>
      <c r="X41" s="8">
        <f>Tabelle1[[#This Row],[corr_soma_z]]/1000</f>
        <v>0.29411764705882354</v>
      </c>
    </row>
    <row r="42" spans="1:24" x14ac:dyDescent="0.35">
      <c r="A42" s="7" t="s">
        <v>5</v>
      </c>
      <c r="B42" s="7" t="s">
        <v>19</v>
      </c>
      <c r="C42" s="6">
        <v>10</v>
      </c>
      <c r="D42" s="1">
        <v>1065.07</v>
      </c>
      <c r="E42" s="1">
        <v>702.28499999999997</v>
      </c>
      <c r="F42" s="1">
        <v>2070</v>
      </c>
      <c r="G42" s="1">
        <v>847.70799999999997</v>
      </c>
      <c r="H42" s="1">
        <v>675.18</v>
      </c>
      <c r="I42" s="1">
        <v>30</v>
      </c>
      <c r="J42" s="2">
        <f>(D42/102)*1000</f>
        <v>10441.862745098038</v>
      </c>
      <c r="K42" s="2">
        <f>(E42/102)*1000</f>
        <v>6885.1470588235288</v>
      </c>
      <c r="L42" s="2">
        <f>(F42/102)*1000</f>
        <v>20294.117647058822</v>
      </c>
      <c r="M42" s="2">
        <f>(G42/102)*1000</f>
        <v>8310.8627450980384</v>
      </c>
      <c r="N42" s="2">
        <f>(H42/102)*1000</f>
        <v>6619.411764705882</v>
      </c>
      <c r="O42" s="2">
        <f>(I42/102)*1000</f>
        <v>294.11764705882354</v>
      </c>
      <c r="P42" s="8">
        <v>8.0951941560938101E-2</v>
      </c>
      <c r="Q42" s="8">
        <v>1.623452518262207</v>
      </c>
      <c r="R42" s="8">
        <v>0.18563749990576778</v>
      </c>
      <c r="S42" s="8">
        <f>Tabelle1[[#This Row],[corr_x]]/1000</f>
        <v>10.441862745098039</v>
      </c>
      <c r="T42" s="8">
        <f>Tabelle1[[#This Row],[corr_y]]/1000</f>
        <v>6.8851470588235291</v>
      </c>
      <c r="U42" s="8">
        <f>Tabelle1[[#This Row],[corr_z]]/1000</f>
        <v>20.294117647058822</v>
      </c>
      <c r="V42" s="8">
        <f>Tabelle1[[#This Row],[corr_soma_x]]/1000</f>
        <v>8.3108627450980386</v>
      </c>
      <c r="W42" s="8">
        <f>Tabelle1[[#This Row],[corr_soma_y]]/1000</f>
        <v>6.6194117647058821</v>
      </c>
      <c r="X42" s="8">
        <f>Tabelle1[[#This Row],[corr_soma_z]]/1000</f>
        <v>0.29411764705882354</v>
      </c>
    </row>
    <row r="43" spans="1:24" x14ac:dyDescent="0.35">
      <c r="A43" s="7" t="s">
        <v>5</v>
      </c>
      <c r="B43" s="7" t="s">
        <v>18</v>
      </c>
      <c r="C43" s="6">
        <v>35</v>
      </c>
      <c r="D43" s="1">
        <v>1070.0749999999998</v>
      </c>
      <c r="E43" s="1">
        <v>687.55250000000001</v>
      </c>
      <c r="F43" s="1">
        <v>2117.5</v>
      </c>
      <c r="G43" s="1">
        <v>847.70799999999997</v>
      </c>
      <c r="H43" s="1">
        <v>675.18</v>
      </c>
      <c r="I43" s="1">
        <v>30</v>
      </c>
      <c r="J43" s="2">
        <f>(D43/102)*1000</f>
        <v>10490.931372549017</v>
      </c>
      <c r="K43" s="2">
        <f>(E43/102)*1000</f>
        <v>6740.7107843137255</v>
      </c>
      <c r="L43" s="2">
        <f>(F43/102)*1000</f>
        <v>20759.803921568629</v>
      </c>
      <c r="M43" s="2">
        <f>(G43/102)*1000</f>
        <v>8310.8627450980384</v>
      </c>
      <c r="N43" s="2">
        <f>(H43/102)*1000</f>
        <v>6619.411764705882</v>
      </c>
      <c r="O43" s="2">
        <f>(I43/102)*1000</f>
        <v>294.11764705882354</v>
      </c>
      <c r="P43" s="8">
        <v>0.19756439830834294</v>
      </c>
      <c r="Q43" s="8">
        <v>2.0459919261822375</v>
      </c>
      <c r="R43" s="8">
        <v>0.19826838847803635</v>
      </c>
      <c r="S43" s="8">
        <f>Tabelle1[[#This Row],[corr_x]]/1000</f>
        <v>10.490931372549017</v>
      </c>
      <c r="T43" s="8">
        <f>Tabelle1[[#This Row],[corr_y]]/1000</f>
        <v>6.7407107843137259</v>
      </c>
      <c r="U43" s="8">
        <f>Tabelle1[[#This Row],[corr_z]]/1000</f>
        <v>20.759803921568629</v>
      </c>
      <c r="V43" s="8">
        <f>Tabelle1[[#This Row],[corr_soma_x]]/1000</f>
        <v>8.3108627450980386</v>
      </c>
      <c r="W43" s="8">
        <f>Tabelle1[[#This Row],[corr_soma_y]]/1000</f>
        <v>6.6194117647058821</v>
      </c>
      <c r="X43" s="8">
        <f>Tabelle1[[#This Row],[corr_soma_z]]/1000</f>
        <v>0.29411764705882354</v>
      </c>
    </row>
    <row r="44" spans="1:24" x14ac:dyDescent="0.35">
      <c r="A44" s="7" t="s">
        <v>5</v>
      </c>
      <c r="B44" s="7" t="s">
        <v>19</v>
      </c>
      <c r="C44" s="6">
        <v>11</v>
      </c>
      <c r="D44" s="1">
        <v>848.09500000000003</v>
      </c>
      <c r="E44" s="1">
        <v>645.67650000000003</v>
      </c>
      <c r="F44" s="1">
        <v>2167.5</v>
      </c>
      <c r="G44" s="1">
        <v>847.70799999999997</v>
      </c>
      <c r="H44" s="1">
        <v>675.18</v>
      </c>
      <c r="I44" s="1">
        <v>30</v>
      </c>
      <c r="J44" s="2">
        <f>(D44/102)*1000</f>
        <v>8314.6568627450979</v>
      </c>
      <c r="K44" s="2">
        <f>(E44/102)*1000</f>
        <v>6330.1617647058829</v>
      </c>
      <c r="L44" s="2">
        <f>(F44/102)*1000</f>
        <v>21250</v>
      </c>
      <c r="M44" s="2">
        <f>(G44/102)*1000</f>
        <v>8310.8627450980384</v>
      </c>
      <c r="N44" s="2">
        <f>(H44/102)*1000</f>
        <v>6619.411764705882</v>
      </c>
      <c r="O44" s="2">
        <f>(I44/102)*1000</f>
        <v>294.11764705882354</v>
      </c>
      <c r="P44" s="8">
        <v>5.0360918877354867E-2</v>
      </c>
      <c r="Q44" s="8">
        <v>0.5857141484044599</v>
      </c>
      <c r="R44" s="8">
        <v>3.6827087620899951E-2</v>
      </c>
      <c r="S44" s="8">
        <f>Tabelle1[[#This Row],[corr_x]]/1000</f>
        <v>8.3146568627450979</v>
      </c>
      <c r="T44" s="8">
        <f>Tabelle1[[#This Row],[corr_y]]/1000</f>
        <v>6.330161764705883</v>
      </c>
      <c r="U44" s="8">
        <f>Tabelle1[[#This Row],[corr_z]]/1000</f>
        <v>21.25</v>
      </c>
      <c r="V44" s="8">
        <f>Tabelle1[[#This Row],[corr_soma_x]]/1000</f>
        <v>8.3108627450980386</v>
      </c>
      <c r="W44" s="8">
        <f>Tabelle1[[#This Row],[corr_soma_y]]/1000</f>
        <v>6.6194117647058821</v>
      </c>
      <c r="X44" s="8">
        <f>Tabelle1[[#This Row],[corr_soma_z]]/1000</f>
        <v>0.29411764705882354</v>
      </c>
    </row>
    <row r="45" spans="1:24" x14ac:dyDescent="0.35">
      <c r="A45" s="7" t="s">
        <v>5</v>
      </c>
      <c r="B45" s="7" t="s">
        <v>18</v>
      </c>
      <c r="C45" s="6">
        <v>36</v>
      </c>
      <c r="D45" s="1">
        <v>1044.9549999999999</v>
      </c>
      <c r="E45" s="1">
        <v>704.22299999999996</v>
      </c>
      <c r="F45" s="1">
        <v>2177.5</v>
      </c>
      <c r="G45" s="1">
        <v>847.70799999999997</v>
      </c>
      <c r="H45" s="1">
        <v>675.18</v>
      </c>
      <c r="I45" s="1">
        <v>30</v>
      </c>
      <c r="J45" s="2">
        <f>(D45/102)*1000</f>
        <v>10244.656862745098</v>
      </c>
      <c r="K45" s="2">
        <f>(E45/102)*1000</f>
        <v>6904.1470588235288</v>
      </c>
      <c r="L45" s="2">
        <f>(F45/102)*1000</f>
        <v>21348.039215686273</v>
      </c>
      <c r="M45" s="2">
        <f>(G45/102)*1000</f>
        <v>8310.8627450980384</v>
      </c>
      <c r="N45" s="2">
        <f>(H45/102)*1000</f>
        <v>6619.411764705882</v>
      </c>
      <c r="O45" s="2">
        <f>(I45/102)*1000</f>
        <v>294.11764705882354</v>
      </c>
      <c r="P45" s="8">
        <v>9.8620722798923491E-2</v>
      </c>
      <c r="Q45" s="8">
        <v>1.8975009611687812</v>
      </c>
      <c r="R45" s="8">
        <v>0.13162923762353845</v>
      </c>
      <c r="S45" s="8">
        <f>Tabelle1[[#This Row],[corr_x]]/1000</f>
        <v>10.244656862745098</v>
      </c>
      <c r="T45" s="8">
        <f>Tabelle1[[#This Row],[corr_y]]/1000</f>
        <v>6.9041470588235292</v>
      </c>
      <c r="U45" s="8">
        <f>Tabelle1[[#This Row],[corr_z]]/1000</f>
        <v>21.348039215686274</v>
      </c>
      <c r="V45" s="8">
        <f>Tabelle1[[#This Row],[corr_soma_x]]/1000</f>
        <v>8.3108627450980386</v>
      </c>
      <c r="W45" s="8">
        <f>Tabelle1[[#This Row],[corr_soma_y]]/1000</f>
        <v>6.6194117647058821</v>
      </c>
      <c r="X45" s="8">
        <f>Tabelle1[[#This Row],[corr_soma_z]]/1000</f>
        <v>0.29411764705882354</v>
      </c>
    </row>
    <row r="46" spans="1:24" x14ac:dyDescent="0.35">
      <c r="A46" s="7" t="s">
        <v>5</v>
      </c>
      <c r="B46" s="7" t="s">
        <v>18</v>
      </c>
      <c r="C46" s="6">
        <v>37</v>
      </c>
      <c r="D46" s="1">
        <v>829.14599999999996</v>
      </c>
      <c r="E46" s="1">
        <v>666.64200000000005</v>
      </c>
      <c r="F46" s="1">
        <v>2195</v>
      </c>
      <c r="G46" s="1">
        <v>847.70799999999997</v>
      </c>
      <c r="H46" s="1">
        <v>675.18</v>
      </c>
      <c r="I46" s="1">
        <v>30</v>
      </c>
      <c r="J46" s="2">
        <f>(D46/102)*1000</f>
        <v>8128.8823529411757</v>
      </c>
      <c r="K46" s="2">
        <f>(E46/102)*1000</f>
        <v>6535.7058823529424</v>
      </c>
      <c r="L46" s="2">
        <f>(F46/102)*1000</f>
        <v>21519.607843137255</v>
      </c>
      <c r="M46" s="2">
        <f>(G46/102)*1000</f>
        <v>8310.8627450980384</v>
      </c>
      <c r="N46" s="2">
        <f>(H46/102)*1000</f>
        <v>6619.411764705882</v>
      </c>
      <c r="O46" s="2">
        <f>(I46/102)*1000</f>
        <v>294.11764705882354</v>
      </c>
      <c r="P46" s="8">
        <v>2.3722798923490968E-2</v>
      </c>
      <c r="Q46" s="8">
        <v>1.2501153402537486</v>
      </c>
      <c r="R46" s="8">
        <v>7.5700710887969175E-2</v>
      </c>
      <c r="S46" s="8">
        <f>Tabelle1[[#This Row],[corr_x]]/1000</f>
        <v>8.1288823529411758</v>
      </c>
      <c r="T46" s="8">
        <f>Tabelle1[[#This Row],[corr_y]]/1000</f>
        <v>6.5357058823529419</v>
      </c>
      <c r="U46" s="8">
        <f>Tabelle1[[#This Row],[corr_z]]/1000</f>
        <v>21.519607843137255</v>
      </c>
      <c r="V46" s="8">
        <f>Tabelle1[[#This Row],[corr_soma_x]]/1000</f>
        <v>8.3108627450980386</v>
      </c>
      <c r="W46" s="8">
        <f>Tabelle1[[#This Row],[corr_soma_y]]/1000</f>
        <v>6.6194117647058821</v>
      </c>
      <c r="X46" s="8">
        <f>Tabelle1[[#This Row],[corr_soma_z]]/1000</f>
        <v>0.29411764705882354</v>
      </c>
    </row>
    <row r="47" spans="1:24" x14ac:dyDescent="0.35">
      <c r="A47" s="7" t="s">
        <v>5</v>
      </c>
      <c r="B47" s="7" t="s">
        <v>19</v>
      </c>
      <c r="C47" s="6">
        <v>12</v>
      </c>
      <c r="D47" s="1">
        <v>1095.5250000000001</v>
      </c>
      <c r="E47" s="1">
        <v>691.76649999999995</v>
      </c>
      <c r="F47" s="1">
        <v>2237.5</v>
      </c>
      <c r="G47" s="1">
        <v>847.70799999999997</v>
      </c>
      <c r="H47" s="1">
        <v>675.18</v>
      </c>
      <c r="I47" s="1">
        <v>30</v>
      </c>
      <c r="J47" s="2">
        <f>(D47/102)*1000</f>
        <v>10740.441176470589</v>
      </c>
      <c r="K47" s="2">
        <f>(E47/102)*1000</f>
        <v>6782.0245098039204</v>
      </c>
      <c r="L47" s="2">
        <f>(F47/102)*1000</f>
        <v>21936.274509803923</v>
      </c>
      <c r="M47" s="2">
        <f>(G47/102)*1000</f>
        <v>8310.8627450980384</v>
      </c>
      <c r="N47" s="2">
        <f>(H47/102)*1000</f>
        <v>6619.411764705882</v>
      </c>
      <c r="O47" s="2">
        <f>(I47/102)*1000</f>
        <v>294.11764705882354</v>
      </c>
      <c r="P47" s="8">
        <v>3.2395713187235678E-2</v>
      </c>
      <c r="Q47" s="8">
        <v>0.95828335255670893</v>
      </c>
      <c r="R47" s="8">
        <v>8.6264521187175369E-2</v>
      </c>
      <c r="S47" s="8">
        <f>Tabelle1[[#This Row],[corr_x]]/1000</f>
        <v>10.74044117647059</v>
      </c>
      <c r="T47" s="8">
        <f>Tabelle1[[#This Row],[corr_y]]/1000</f>
        <v>6.7820245098039207</v>
      </c>
      <c r="U47" s="8">
        <f>Tabelle1[[#This Row],[corr_z]]/1000</f>
        <v>21.936274509803923</v>
      </c>
      <c r="V47" s="8">
        <f>Tabelle1[[#This Row],[corr_soma_x]]/1000</f>
        <v>8.3108627450980386</v>
      </c>
      <c r="W47" s="8">
        <f>Tabelle1[[#This Row],[corr_soma_y]]/1000</f>
        <v>6.6194117647058821</v>
      </c>
      <c r="X47" s="8">
        <f>Tabelle1[[#This Row],[corr_soma_z]]/1000</f>
        <v>0.29411764705882354</v>
      </c>
    </row>
    <row r="48" spans="1:24" x14ac:dyDescent="0.35">
      <c r="A48" s="7" t="s">
        <v>5</v>
      </c>
      <c r="B48" s="7" t="s">
        <v>19</v>
      </c>
      <c r="C48" s="6">
        <v>13</v>
      </c>
      <c r="D48" s="1">
        <v>1083.76</v>
      </c>
      <c r="E48" s="1">
        <v>715.38199999999995</v>
      </c>
      <c r="F48" s="1">
        <v>2265</v>
      </c>
      <c r="G48" s="1">
        <v>847.70799999999997</v>
      </c>
      <c r="H48" s="1">
        <v>675.18</v>
      </c>
      <c r="I48" s="1">
        <v>30</v>
      </c>
      <c r="J48" s="2">
        <f>(D48/102)*1000</f>
        <v>10625.098039215685</v>
      </c>
      <c r="K48" s="2">
        <f>(E48/102)*1000</f>
        <v>7013.5490196078426</v>
      </c>
      <c r="L48" s="2">
        <f>(F48/102)*1000</f>
        <v>22205.882352941178</v>
      </c>
      <c r="M48" s="2">
        <f>(G48/102)*1000</f>
        <v>8310.8627450980384</v>
      </c>
      <c r="N48" s="2">
        <f>(H48/102)*1000</f>
        <v>6619.411764705882</v>
      </c>
      <c r="O48" s="2">
        <f>(I48/102)*1000</f>
        <v>294.11764705882354</v>
      </c>
      <c r="P48" s="8">
        <v>0.10646386005382547</v>
      </c>
      <c r="Q48" s="8">
        <v>1.8239234909650133</v>
      </c>
      <c r="R48" s="8">
        <v>0.1666996479483758</v>
      </c>
      <c r="S48" s="8">
        <f>Tabelle1[[#This Row],[corr_x]]/1000</f>
        <v>10.625098039215684</v>
      </c>
      <c r="T48" s="8">
        <f>Tabelle1[[#This Row],[corr_y]]/1000</f>
        <v>7.0135490196078427</v>
      </c>
      <c r="U48" s="8">
        <f>Tabelle1[[#This Row],[corr_z]]/1000</f>
        <v>22.205882352941178</v>
      </c>
      <c r="V48" s="8">
        <f>Tabelle1[[#This Row],[corr_soma_x]]/1000</f>
        <v>8.3108627450980386</v>
      </c>
      <c r="W48" s="8">
        <f>Tabelle1[[#This Row],[corr_soma_y]]/1000</f>
        <v>6.6194117647058821</v>
      </c>
      <c r="X48" s="8">
        <f>Tabelle1[[#This Row],[corr_soma_z]]/1000</f>
        <v>0.29411764705882354</v>
      </c>
    </row>
    <row r="49" spans="1:24" x14ac:dyDescent="0.35">
      <c r="A49" s="7" t="s">
        <v>5</v>
      </c>
      <c r="B49" s="7" t="s">
        <v>18</v>
      </c>
      <c r="C49" s="6">
        <v>38</v>
      </c>
      <c r="D49" s="1">
        <v>1074.2</v>
      </c>
      <c r="E49" s="1">
        <v>650.48800000000006</v>
      </c>
      <c r="F49" s="1">
        <v>2375</v>
      </c>
      <c r="G49" s="1">
        <v>847.70799999999997</v>
      </c>
      <c r="H49" s="1">
        <v>675.18</v>
      </c>
      <c r="I49" s="1">
        <v>30</v>
      </c>
      <c r="J49" s="2">
        <f>(D49/102)*1000</f>
        <v>10531.372549019608</v>
      </c>
      <c r="K49" s="2">
        <f>(E49/102)*1000</f>
        <v>6377.3333333333339</v>
      </c>
      <c r="L49" s="2">
        <f>(F49/102)*1000</f>
        <v>23284.313725490196</v>
      </c>
      <c r="M49" s="2">
        <f>(G49/102)*1000</f>
        <v>8310.8627450980384</v>
      </c>
      <c r="N49" s="2">
        <f>(H49/102)*1000</f>
        <v>6619.411764705882</v>
      </c>
      <c r="O49" s="2">
        <f>(I49/102)*1000</f>
        <v>294.11764705882354</v>
      </c>
      <c r="P49" s="8">
        <v>5.1589484813533253E-2</v>
      </c>
      <c r="Q49" s="8">
        <v>1.8022299115724723</v>
      </c>
      <c r="R49" s="8">
        <v>0.10718445394305358</v>
      </c>
      <c r="S49" s="8">
        <f>Tabelle1[[#This Row],[corr_x]]/1000</f>
        <v>10.531372549019608</v>
      </c>
      <c r="T49" s="8">
        <f>Tabelle1[[#This Row],[corr_y]]/1000</f>
        <v>6.3773333333333335</v>
      </c>
      <c r="U49" s="8">
        <f>Tabelle1[[#This Row],[corr_z]]/1000</f>
        <v>23.284313725490197</v>
      </c>
      <c r="V49" s="8">
        <f>Tabelle1[[#This Row],[corr_soma_x]]/1000</f>
        <v>8.3108627450980386</v>
      </c>
      <c r="W49" s="8">
        <f>Tabelle1[[#This Row],[corr_soma_y]]/1000</f>
        <v>6.6194117647058821</v>
      </c>
      <c r="X49" s="8">
        <f>Tabelle1[[#This Row],[corr_soma_z]]/1000</f>
        <v>0.29411764705882354</v>
      </c>
    </row>
    <row r="50" spans="1:24" x14ac:dyDescent="0.35">
      <c r="A50" s="7" t="s">
        <v>5</v>
      </c>
      <c r="B50" s="7" t="s">
        <v>18</v>
      </c>
      <c r="C50" s="6">
        <v>39</v>
      </c>
      <c r="D50" s="1">
        <v>1081.635</v>
      </c>
      <c r="E50" s="1">
        <v>642.18949999999995</v>
      </c>
      <c r="F50" s="1">
        <v>2412.5</v>
      </c>
      <c r="G50" s="1">
        <v>847.70799999999997</v>
      </c>
      <c r="H50" s="1">
        <v>675.18</v>
      </c>
      <c r="I50" s="1">
        <v>30</v>
      </c>
      <c r="J50" s="2">
        <f>(D50/102)*1000</f>
        <v>10604.264705882353</v>
      </c>
      <c r="K50" s="2">
        <f>(E50/102)*1000</f>
        <v>6295.9754901960778</v>
      </c>
      <c r="L50" s="2">
        <f>(F50/102)*1000</f>
        <v>23651.960784313727</v>
      </c>
      <c r="M50" s="2">
        <f>(G50/102)*1000</f>
        <v>8310.8627450980384</v>
      </c>
      <c r="N50" s="2">
        <f>(H50/102)*1000</f>
        <v>6619.411764705882</v>
      </c>
      <c r="O50" s="2">
        <f>(I50/102)*1000</f>
        <v>294.11764705882354</v>
      </c>
      <c r="P50" s="8">
        <v>6.2240388312187617E-2</v>
      </c>
      <c r="Q50" s="8">
        <v>0.79426182237600917</v>
      </c>
      <c r="R50" s="8">
        <v>3.5012269036795808E-2</v>
      </c>
      <c r="S50" s="8">
        <f>Tabelle1[[#This Row],[corr_x]]/1000</f>
        <v>10.604264705882354</v>
      </c>
      <c r="T50" s="8">
        <f>Tabelle1[[#This Row],[corr_y]]/1000</f>
        <v>6.2959754901960778</v>
      </c>
      <c r="U50" s="8">
        <f>Tabelle1[[#This Row],[corr_z]]/1000</f>
        <v>23.651960784313726</v>
      </c>
      <c r="V50" s="8">
        <f>Tabelle1[[#This Row],[corr_soma_x]]/1000</f>
        <v>8.3108627450980386</v>
      </c>
      <c r="W50" s="8">
        <f>Tabelle1[[#This Row],[corr_soma_y]]/1000</f>
        <v>6.6194117647058821</v>
      </c>
      <c r="X50" s="8">
        <f>Tabelle1[[#This Row],[corr_soma_z]]/1000</f>
        <v>0.29411764705882354</v>
      </c>
    </row>
    <row r="51" spans="1:24" x14ac:dyDescent="0.35">
      <c r="A51" s="7" t="s">
        <v>5</v>
      </c>
      <c r="B51" s="7" t="s">
        <v>18</v>
      </c>
      <c r="C51" s="6">
        <v>40</v>
      </c>
      <c r="D51" s="1">
        <v>1079.07</v>
      </c>
      <c r="E51" s="1">
        <v>629.47350000000006</v>
      </c>
      <c r="F51" s="1">
        <v>2482.5</v>
      </c>
      <c r="G51" s="1">
        <v>847.70799999999997</v>
      </c>
      <c r="H51" s="1">
        <v>675.18</v>
      </c>
      <c r="I51" s="1">
        <v>30</v>
      </c>
      <c r="J51" s="2">
        <f>(D51/102)*1000</f>
        <v>10579.117647058823</v>
      </c>
      <c r="K51" s="2">
        <f>(E51/102)*1000</f>
        <v>6171.3088235294126</v>
      </c>
      <c r="L51" s="2">
        <f>(F51/102)*1000</f>
        <v>24338.235294117647</v>
      </c>
      <c r="M51" s="2">
        <f>(G51/102)*1000</f>
        <v>8310.8627450980384</v>
      </c>
      <c r="N51" s="2">
        <f>(H51/102)*1000</f>
        <v>6619.411764705882</v>
      </c>
      <c r="O51" s="2">
        <f>(I51/102)*1000</f>
        <v>294.11764705882354</v>
      </c>
      <c r="P51" s="8">
        <v>0.14632160707420222</v>
      </c>
      <c r="Q51" s="8">
        <v>1.0785755478662054</v>
      </c>
      <c r="R51" s="8">
        <v>5.9112916600704099E-2</v>
      </c>
      <c r="S51" s="8">
        <f>Tabelle1[[#This Row],[corr_x]]/1000</f>
        <v>10.579117647058823</v>
      </c>
      <c r="T51" s="8">
        <f>Tabelle1[[#This Row],[corr_y]]/1000</f>
        <v>6.1713088235294125</v>
      </c>
      <c r="U51" s="8">
        <f>Tabelle1[[#This Row],[corr_z]]/1000</f>
        <v>24.338235294117649</v>
      </c>
      <c r="V51" s="8">
        <f>Tabelle1[[#This Row],[corr_soma_x]]/1000</f>
        <v>8.3108627450980386</v>
      </c>
      <c r="W51" s="8">
        <f>Tabelle1[[#This Row],[corr_soma_y]]/1000</f>
        <v>6.6194117647058821</v>
      </c>
      <c r="X51" s="8">
        <f>Tabelle1[[#This Row],[corr_soma_z]]/1000</f>
        <v>0.29411764705882354</v>
      </c>
    </row>
    <row r="52" spans="1:24" x14ac:dyDescent="0.35">
      <c r="A52" s="7" t="s">
        <v>5</v>
      </c>
      <c r="B52" s="7" t="s">
        <v>19</v>
      </c>
      <c r="C52" s="6">
        <v>14</v>
      </c>
      <c r="D52" s="1">
        <v>1046.05</v>
      </c>
      <c r="E52" s="1">
        <v>621.13300000000004</v>
      </c>
      <c r="F52" s="1">
        <v>2670</v>
      </c>
      <c r="G52" s="1">
        <v>847.70799999999997</v>
      </c>
      <c r="H52" s="1">
        <v>675.18</v>
      </c>
      <c r="I52" s="1">
        <v>30</v>
      </c>
      <c r="J52" s="2">
        <f>(D52/102)*1000</f>
        <v>10255.392156862745</v>
      </c>
      <c r="K52" s="2">
        <f>(E52/102)*1000</f>
        <v>6089.5392156862754</v>
      </c>
      <c r="L52" s="2">
        <f>(F52/102)*1000</f>
        <v>26176.470588235294</v>
      </c>
      <c r="M52" s="2">
        <f>(G52/102)*1000</f>
        <v>8310.8627450980384</v>
      </c>
      <c r="N52" s="2">
        <f>(H52/102)*1000</f>
        <v>6619.411764705882</v>
      </c>
      <c r="O52" s="2">
        <f>(I52/102)*1000</f>
        <v>294.11764705882354</v>
      </c>
      <c r="P52" s="8">
        <v>0.1004882737408689</v>
      </c>
      <c r="Q52" s="8">
        <v>1.7096212995001925</v>
      </c>
      <c r="R52" s="8">
        <v>0.1037016305945677</v>
      </c>
      <c r="S52" s="8">
        <f>Tabelle1[[#This Row],[corr_x]]/1000</f>
        <v>10.255392156862746</v>
      </c>
      <c r="T52" s="8">
        <f>Tabelle1[[#This Row],[corr_y]]/1000</f>
        <v>6.0895392156862753</v>
      </c>
      <c r="U52" s="8">
        <f>Tabelle1[[#This Row],[corr_z]]/1000</f>
        <v>26.176470588235293</v>
      </c>
      <c r="V52" s="8">
        <f>Tabelle1[[#This Row],[corr_soma_x]]/1000</f>
        <v>8.3108627450980386</v>
      </c>
      <c r="W52" s="8">
        <f>Tabelle1[[#This Row],[corr_soma_y]]/1000</f>
        <v>6.6194117647058821</v>
      </c>
      <c r="X52" s="8">
        <f>Tabelle1[[#This Row],[corr_soma_z]]/1000</f>
        <v>0.29411764705882354</v>
      </c>
    </row>
    <row r="53" spans="1:24" x14ac:dyDescent="0.35">
      <c r="A53" s="7" t="s">
        <v>5</v>
      </c>
      <c r="B53" s="7" t="s">
        <v>18</v>
      </c>
      <c r="C53" s="6">
        <v>41</v>
      </c>
      <c r="D53" s="1">
        <v>1002.585</v>
      </c>
      <c r="E53" s="1">
        <v>616.23450000000003</v>
      </c>
      <c r="F53" s="1">
        <v>2677.5</v>
      </c>
      <c r="G53" s="1">
        <v>847.70799999999997</v>
      </c>
      <c r="H53" s="1">
        <v>675.18</v>
      </c>
      <c r="I53" s="1">
        <v>30</v>
      </c>
      <c r="J53" s="2">
        <f>(D53/102)*1000</f>
        <v>9829.2647058823532</v>
      </c>
      <c r="K53" s="2">
        <f>(E53/102)*1000</f>
        <v>6041.5147058823532</v>
      </c>
      <c r="L53" s="2">
        <f>(F53/102)*1000</f>
        <v>26250</v>
      </c>
      <c r="M53" s="2">
        <f>(G53/102)*1000</f>
        <v>8310.8627450980384</v>
      </c>
      <c r="N53" s="2">
        <f>(H53/102)*1000</f>
        <v>6619.411764705882</v>
      </c>
      <c r="O53" s="2">
        <f>(I53/102)*1000</f>
        <v>294.11764705882354</v>
      </c>
      <c r="P53" s="8">
        <v>7.3931949250288356E-2</v>
      </c>
      <c r="Q53" s="8">
        <v>2.4047866205305652</v>
      </c>
      <c r="R53" s="8">
        <v>0.2102236319364347</v>
      </c>
      <c r="S53" s="8">
        <f>Tabelle1[[#This Row],[corr_x]]/1000</f>
        <v>9.8292647058823537</v>
      </c>
      <c r="T53" s="8">
        <f>Tabelle1[[#This Row],[corr_y]]/1000</f>
        <v>6.0415147058823528</v>
      </c>
      <c r="U53" s="8">
        <f>Tabelle1[[#This Row],[corr_z]]/1000</f>
        <v>26.25</v>
      </c>
      <c r="V53" s="8">
        <f>Tabelle1[[#This Row],[corr_soma_x]]/1000</f>
        <v>8.3108627450980386</v>
      </c>
      <c r="W53" s="8">
        <f>Tabelle1[[#This Row],[corr_soma_y]]/1000</f>
        <v>6.6194117647058821</v>
      </c>
      <c r="X53" s="8">
        <f>Tabelle1[[#This Row],[corr_soma_z]]/1000</f>
        <v>0.29411764705882354</v>
      </c>
    </row>
    <row r="54" spans="1:24" x14ac:dyDescent="0.35">
      <c r="A54" s="7" t="s">
        <v>5</v>
      </c>
      <c r="B54" s="7" t="s">
        <v>18</v>
      </c>
      <c r="C54" s="6">
        <v>42</v>
      </c>
      <c r="D54" s="1">
        <v>1048.3899999999999</v>
      </c>
      <c r="E54" s="1">
        <v>638</v>
      </c>
      <c r="F54" s="1">
        <v>2732.5</v>
      </c>
      <c r="G54" s="1">
        <v>847.70799999999997</v>
      </c>
      <c r="H54" s="1">
        <v>675.18</v>
      </c>
      <c r="I54" s="1">
        <v>30</v>
      </c>
      <c r="J54" s="2">
        <f>(D54/102)*1000</f>
        <v>10278.333333333332</v>
      </c>
      <c r="K54" s="2">
        <f>(E54/102)*1000</f>
        <v>6254.9019607843138</v>
      </c>
      <c r="L54" s="2">
        <f>(F54/102)*1000</f>
        <v>26789.215686274511</v>
      </c>
      <c r="M54" s="2">
        <f>(G54/102)*1000</f>
        <v>8310.8627450980384</v>
      </c>
      <c r="N54" s="2">
        <f>(H54/102)*1000</f>
        <v>6619.411764705882</v>
      </c>
      <c r="O54" s="2">
        <f>(I54/102)*1000</f>
        <v>294.11764705882354</v>
      </c>
      <c r="P54" s="8">
        <v>4.2525374855824687E-2</v>
      </c>
      <c r="Q54" s="8">
        <v>1.4168108419838523</v>
      </c>
      <c r="R54" s="8">
        <v>0.13548898990584315</v>
      </c>
      <c r="S54" s="8">
        <f>Tabelle1[[#This Row],[corr_x]]/1000</f>
        <v>10.278333333333332</v>
      </c>
      <c r="T54" s="8">
        <f>Tabelle1[[#This Row],[corr_y]]/1000</f>
        <v>6.2549019607843137</v>
      </c>
      <c r="U54" s="8">
        <f>Tabelle1[[#This Row],[corr_z]]/1000</f>
        <v>26.78921568627451</v>
      </c>
      <c r="V54" s="8">
        <f>Tabelle1[[#This Row],[corr_soma_x]]/1000</f>
        <v>8.3108627450980386</v>
      </c>
      <c r="W54" s="8">
        <f>Tabelle1[[#This Row],[corr_soma_y]]/1000</f>
        <v>6.6194117647058821</v>
      </c>
      <c r="X54" s="8">
        <f>Tabelle1[[#This Row],[corr_soma_z]]/1000</f>
        <v>0.29411764705882354</v>
      </c>
    </row>
    <row r="55" spans="1:24" x14ac:dyDescent="0.35">
      <c r="A55" s="7" t="s">
        <v>5</v>
      </c>
      <c r="B55" s="7" t="s">
        <v>18</v>
      </c>
      <c r="C55" s="6">
        <v>43</v>
      </c>
      <c r="D55" s="1">
        <v>1015.175</v>
      </c>
      <c r="E55" s="1">
        <v>640.94000000000005</v>
      </c>
      <c r="F55" s="1">
        <v>2757.5</v>
      </c>
      <c r="G55" s="1">
        <v>847.70799999999997</v>
      </c>
      <c r="H55" s="1">
        <v>675.18</v>
      </c>
      <c r="I55" s="1">
        <v>30</v>
      </c>
      <c r="J55" s="2">
        <f>(D55/102)*1000</f>
        <v>9952.6960784313724</v>
      </c>
      <c r="K55" s="2">
        <f>(E55/102)*1000</f>
        <v>6283.7254901960787</v>
      </c>
      <c r="L55" s="2">
        <f>(F55/102)*1000</f>
        <v>27034.313725490196</v>
      </c>
      <c r="M55" s="2">
        <f>(G55/102)*1000</f>
        <v>8310.8627450980384</v>
      </c>
      <c r="N55" s="2">
        <f>(H55/102)*1000</f>
        <v>6619.411764705882</v>
      </c>
      <c r="O55" s="2">
        <f>(I55/102)*1000</f>
        <v>294.11764705882354</v>
      </c>
      <c r="P55" s="8">
        <v>3.3516916570549789E-2</v>
      </c>
      <c r="Q55" s="8">
        <v>0.71420703575547861</v>
      </c>
      <c r="R55" s="8">
        <v>3.0937761494447838E-2</v>
      </c>
      <c r="S55" s="8">
        <f>Tabelle1[[#This Row],[corr_x]]/1000</f>
        <v>9.9526960784313729</v>
      </c>
      <c r="T55" s="8">
        <f>Tabelle1[[#This Row],[corr_y]]/1000</f>
        <v>6.2837254901960788</v>
      </c>
      <c r="U55" s="8">
        <f>Tabelle1[[#This Row],[corr_z]]/1000</f>
        <v>27.034313725490197</v>
      </c>
      <c r="V55" s="8">
        <f>Tabelle1[[#This Row],[corr_soma_x]]/1000</f>
        <v>8.3108627450980386</v>
      </c>
      <c r="W55" s="8">
        <f>Tabelle1[[#This Row],[corr_soma_y]]/1000</f>
        <v>6.6194117647058821</v>
      </c>
      <c r="X55" s="8">
        <f>Tabelle1[[#This Row],[corr_soma_z]]/1000</f>
        <v>0.29411764705882354</v>
      </c>
    </row>
    <row r="56" spans="1:24" x14ac:dyDescent="0.35">
      <c r="A56" s="7" t="s">
        <v>5</v>
      </c>
      <c r="B56" s="7" t="s">
        <v>18</v>
      </c>
      <c r="C56" s="6">
        <v>44</v>
      </c>
      <c r="D56" s="1">
        <v>1096.3699999999999</v>
      </c>
      <c r="E56" s="1">
        <v>724.80949999999996</v>
      </c>
      <c r="F56" s="1">
        <v>2842.5</v>
      </c>
      <c r="G56" s="1">
        <v>847.70799999999997</v>
      </c>
      <c r="H56" s="1">
        <v>675.18</v>
      </c>
      <c r="I56" s="1">
        <v>30</v>
      </c>
      <c r="J56" s="2">
        <f>(D56/102)*1000</f>
        <v>10748.725490196079</v>
      </c>
      <c r="K56" s="2">
        <f>(E56/102)*1000</f>
        <v>7105.9754901960787</v>
      </c>
      <c r="L56" s="2">
        <f>(F56/102)*1000</f>
        <v>27867.647058823528</v>
      </c>
      <c r="M56" s="2">
        <f>(G56/102)*1000</f>
        <v>8310.8627450980384</v>
      </c>
      <c r="N56" s="2">
        <f>(H56/102)*1000</f>
        <v>6619.411764705882</v>
      </c>
      <c r="O56" s="2">
        <f>(I56/102)*1000</f>
        <v>294.11764705882354</v>
      </c>
      <c r="P56" s="8">
        <v>6.1439638600538249E-2</v>
      </c>
      <c r="Q56" s="8">
        <v>1.0692906574394463</v>
      </c>
      <c r="R56" s="8">
        <v>8.3281694069400156E-2</v>
      </c>
      <c r="S56" s="8">
        <f>Tabelle1[[#This Row],[corr_x]]/1000</f>
        <v>10.748725490196078</v>
      </c>
      <c r="T56" s="8">
        <f>Tabelle1[[#This Row],[corr_y]]/1000</f>
        <v>7.1059754901960783</v>
      </c>
      <c r="U56" s="8">
        <f>Tabelle1[[#This Row],[corr_z]]/1000</f>
        <v>27.867647058823529</v>
      </c>
      <c r="V56" s="8">
        <f>Tabelle1[[#This Row],[corr_soma_x]]/1000</f>
        <v>8.3108627450980386</v>
      </c>
      <c r="W56" s="8">
        <f>Tabelle1[[#This Row],[corr_soma_y]]/1000</f>
        <v>6.6194117647058821</v>
      </c>
      <c r="X56" s="8">
        <f>Tabelle1[[#This Row],[corr_soma_z]]/1000</f>
        <v>0.29411764705882354</v>
      </c>
    </row>
    <row r="57" spans="1:24" x14ac:dyDescent="0.35">
      <c r="A57" s="7" t="s">
        <v>5</v>
      </c>
      <c r="B57" s="7" t="s">
        <v>19</v>
      </c>
      <c r="C57" s="6">
        <v>15</v>
      </c>
      <c r="D57" s="1">
        <v>1104.0550000000001</v>
      </c>
      <c r="E57" s="1">
        <v>738.37300000000005</v>
      </c>
      <c r="F57" s="1">
        <v>2887.5</v>
      </c>
      <c r="G57" s="1">
        <v>847.70799999999997</v>
      </c>
      <c r="H57" s="1">
        <v>675.18</v>
      </c>
      <c r="I57" s="1">
        <v>30</v>
      </c>
      <c r="J57" s="2">
        <f>(D57/102)*1000</f>
        <v>10824.068627450981</v>
      </c>
      <c r="K57" s="2">
        <f>(E57/102)*1000</f>
        <v>7238.9509803921574</v>
      </c>
      <c r="L57" s="2">
        <f>(F57/102)*1000</f>
        <v>28308.823529411766</v>
      </c>
      <c r="M57" s="2">
        <f>(G57/102)*1000</f>
        <v>8310.8627450980384</v>
      </c>
      <c r="N57" s="2">
        <f>(H57/102)*1000</f>
        <v>6619.411764705882</v>
      </c>
      <c r="O57" s="2">
        <f>(I57/102)*1000</f>
        <v>294.11764705882354</v>
      </c>
      <c r="P57" s="8">
        <v>1.8442041522491352E-2</v>
      </c>
      <c r="Q57" s="8">
        <v>0.85596981930026916</v>
      </c>
      <c r="R57" s="8">
        <v>6.3878334878741963E-2</v>
      </c>
      <c r="S57" s="8">
        <f>Tabelle1[[#This Row],[corr_x]]/1000</f>
        <v>10.824068627450981</v>
      </c>
      <c r="T57" s="8">
        <f>Tabelle1[[#This Row],[corr_y]]/1000</f>
        <v>7.2389509803921577</v>
      </c>
      <c r="U57" s="8">
        <f>Tabelle1[[#This Row],[corr_z]]/1000</f>
        <v>28.308823529411764</v>
      </c>
      <c r="V57" s="8">
        <f>Tabelle1[[#This Row],[corr_soma_x]]/1000</f>
        <v>8.3108627450980386</v>
      </c>
      <c r="W57" s="8">
        <f>Tabelle1[[#This Row],[corr_soma_y]]/1000</f>
        <v>6.6194117647058821</v>
      </c>
      <c r="X57" s="8">
        <f>Tabelle1[[#This Row],[corr_soma_z]]/1000</f>
        <v>0.29411764705882354</v>
      </c>
    </row>
    <row r="58" spans="1:24" x14ac:dyDescent="0.35">
      <c r="A58" s="7" t="s">
        <v>5</v>
      </c>
      <c r="B58" s="7" t="s">
        <v>18</v>
      </c>
      <c r="C58" s="6">
        <v>45</v>
      </c>
      <c r="D58" s="1">
        <v>1136</v>
      </c>
      <c r="E58" s="1">
        <v>722.75699999999995</v>
      </c>
      <c r="F58" s="1">
        <v>2910</v>
      </c>
      <c r="G58" s="1">
        <v>847.70799999999997</v>
      </c>
      <c r="H58" s="1">
        <v>675.18</v>
      </c>
      <c r="I58" s="1">
        <v>30</v>
      </c>
      <c r="J58" s="2">
        <f>(D58/102)*1000</f>
        <v>11137.254901960783</v>
      </c>
      <c r="K58" s="2">
        <f>(E58/102)*1000</f>
        <v>7085.8529411764703</v>
      </c>
      <c r="L58" s="2">
        <f>(F58/102)*1000</f>
        <v>28529.411764705885</v>
      </c>
      <c r="M58" s="2">
        <f>(G58/102)*1000</f>
        <v>8310.8627450980384</v>
      </c>
      <c r="N58" s="2">
        <f>(H58/102)*1000</f>
        <v>6619.411764705882</v>
      </c>
      <c r="O58" s="2">
        <f>(I58/102)*1000</f>
        <v>294.11764705882354</v>
      </c>
      <c r="P58" s="8">
        <v>0.10149653979238754</v>
      </c>
      <c r="Q58" s="8">
        <v>1.508352556708958</v>
      </c>
      <c r="R58" s="8">
        <v>0.10903611733043853</v>
      </c>
      <c r="S58" s="8">
        <f>Tabelle1[[#This Row],[corr_x]]/1000</f>
        <v>11.137254901960784</v>
      </c>
      <c r="T58" s="8">
        <f>Tabelle1[[#This Row],[corr_y]]/1000</f>
        <v>7.0858529411764701</v>
      </c>
      <c r="U58" s="8">
        <f>Tabelle1[[#This Row],[corr_z]]/1000</f>
        <v>28.529411764705884</v>
      </c>
      <c r="V58" s="8">
        <f>Tabelle1[[#This Row],[corr_soma_x]]/1000</f>
        <v>8.3108627450980386</v>
      </c>
      <c r="W58" s="8">
        <f>Tabelle1[[#This Row],[corr_soma_y]]/1000</f>
        <v>6.6194117647058821</v>
      </c>
      <c r="X58" s="8">
        <f>Tabelle1[[#This Row],[corr_soma_z]]/1000</f>
        <v>0.29411764705882354</v>
      </c>
    </row>
    <row r="59" spans="1:24" x14ac:dyDescent="0.35">
      <c r="A59" s="7" t="s">
        <v>5</v>
      </c>
      <c r="B59" s="7" t="s">
        <v>18</v>
      </c>
      <c r="C59" s="6">
        <v>46</v>
      </c>
      <c r="D59" s="1">
        <v>1152.21</v>
      </c>
      <c r="E59" s="1">
        <v>732.7405</v>
      </c>
      <c r="F59" s="1">
        <v>3012.5</v>
      </c>
      <c r="G59" s="1">
        <v>847.70799999999997</v>
      </c>
      <c r="H59" s="1">
        <v>675.18</v>
      </c>
      <c r="I59" s="1">
        <v>30</v>
      </c>
      <c r="J59" s="2">
        <f>(D59/102)*1000</f>
        <v>11296.176470588236</v>
      </c>
      <c r="K59" s="2">
        <f>(E59/102)*1000</f>
        <v>7183.7303921568628</v>
      </c>
      <c r="L59" s="2">
        <f>(F59/102)*1000</f>
        <v>29534.313725490196</v>
      </c>
      <c r="M59" s="2">
        <f>(G59/102)*1000</f>
        <v>8310.8627450980384</v>
      </c>
      <c r="N59" s="2">
        <f>(H59/102)*1000</f>
        <v>6619.411764705882</v>
      </c>
      <c r="O59" s="2">
        <f>(I59/102)*1000</f>
        <v>294.11764705882354</v>
      </c>
      <c r="P59" s="8">
        <v>0.18777393310265281</v>
      </c>
      <c r="Q59" s="8">
        <v>4.558467896962707</v>
      </c>
      <c r="R59" s="8">
        <v>0.3589597892213402</v>
      </c>
      <c r="S59" s="8">
        <f>Tabelle1[[#This Row],[corr_x]]/1000</f>
        <v>11.296176470588236</v>
      </c>
      <c r="T59" s="8">
        <f>Tabelle1[[#This Row],[corr_y]]/1000</f>
        <v>7.1837303921568632</v>
      </c>
      <c r="U59" s="8">
        <f>Tabelle1[[#This Row],[corr_z]]/1000</f>
        <v>29.534313725490197</v>
      </c>
      <c r="V59" s="8">
        <f>Tabelle1[[#This Row],[corr_soma_x]]/1000</f>
        <v>8.3108627450980386</v>
      </c>
      <c r="W59" s="8">
        <f>Tabelle1[[#This Row],[corr_soma_y]]/1000</f>
        <v>6.6194117647058821</v>
      </c>
      <c r="X59" s="8">
        <f>Tabelle1[[#This Row],[corr_soma_z]]/1000</f>
        <v>0.29411764705882354</v>
      </c>
    </row>
    <row r="60" spans="1:24" x14ac:dyDescent="0.35">
      <c r="A60" s="7" t="s">
        <v>5</v>
      </c>
      <c r="B60" s="7" t="s">
        <v>18</v>
      </c>
      <c r="C60" s="6">
        <v>47</v>
      </c>
      <c r="D60" s="1">
        <v>1177.4650000000001</v>
      </c>
      <c r="E60" s="1">
        <v>760.93200000000002</v>
      </c>
      <c r="F60" s="1">
        <v>3047.5</v>
      </c>
      <c r="G60" s="1">
        <v>847.70799999999997</v>
      </c>
      <c r="H60" s="1">
        <v>675.18</v>
      </c>
      <c r="I60" s="1">
        <v>30</v>
      </c>
      <c r="J60" s="2">
        <f>(D60/102)*1000</f>
        <v>11543.774509803923</v>
      </c>
      <c r="K60" s="2">
        <f>(E60/102)*1000</f>
        <v>7460.1176470588234</v>
      </c>
      <c r="L60" s="2">
        <f>(F60/102)*1000</f>
        <v>29877.450980392157</v>
      </c>
      <c r="M60" s="2">
        <f>(G60/102)*1000</f>
        <v>8310.8627450980384</v>
      </c>
      <c r="N60" s="2">
        <f>(H60/102)*1000</f>
        <v>6619.411764705882</v>
      </c>
      <c r="O60" s="2">
        <f>(I60/102)*1000</f>
        <v>294.11764705882354</v>
      </c>
      <c r="P60" s="8">
        <v>6.7079008073817767E-2</v>
      </c>
      <c r="Q60" s="8">
        <v>0.92698289119569399</v>
      </c>
      <c r="R60" s="8">
        <v>9.5379039735848201E-2</v>
      </c>
      <c r="S60" s="8">
        <f>Tabelle1[[#This Row],[corr_x]]/1000</f>
        <v>11.543774509803923</v>
      </c>
      <c r="T60" s="8">
        <f>Tabelle1[[#This Row],[corr_y]]/1000</f>
        <v>7.4601176470588237</v>
      </c>
      <c r="U60" s="8">
        <f>Tabelle1[[#This Row],[corr_z]]/1000</f>
        <v>29.877450980392158</v>
      </c>
      <c r="V60" s="8">
        <f>Tabelle1[[#This Row],[corr_soma_x]]/1000</f>
        <v>8.3108627450980386</v>
      </c>
      <c r="W60" s="8">
        <f>Tabelle1[[#This Row],[corr_soma_y]]/1000</f>
        <v>6.6194117647058821</v>
      </c>
      <c r="X60" s="8">
        <f>Tabelle1[[#This Row],[corr_soma_z]]/1000</f>
        <v>0.29411764705882354</v>
      </c>
    </row>
    <row r="61" spans="1:24" x14ac:dyDescent="0.35">
      <c r="A61" s="7" t="s">
        <v>5</v>
      </c>
      <c r="B61" s="7" t="s">
        <v>19</v>
      </c>
      <c r="C61" s="6">
        <v>16</v>
      </c>
      <c r="D61" s="1">
        <v>1109.92</v>
      </c>
      <c r="E61" s="1">
        <v>733.23900000000003</v>
      </c>
      <c r="F61" s="1">
        <v>3040</v>
      </c>
      <c r="G61" s="1">
        <v>847.70799999999997</v>
      </c>
      <c r="H61" s="1">
        <v>675.18</v>
      </c>
      <c r="I61" s="1">
        <v>30</v>
      </c>
      <c r="J61" s="2">
        <f>(D61/102)*1000</f>
        <v>10881.568627450981</v>
      </c>
      <c r="K61" s="2">
        <f>(E61/102)*1000</f>
        <v>7188.6176470588243</v>
      </c>
      <c r="L61" s="2">
        <f>(F61/102)*1000</f>
        <v>29803.921568627451</v>
      </c>
      <c r="M61" s="2">
        <f>(G61/102)*1000</f>
        <v>8310.8627450980384</v>
      </c>
      <c r="N61" s="2">
        <f>(H61/102)*1000</f>
        <v>6619.411764705882</v>
      </c>
      <c r="O61" s="2">
        <f>(I61/102)*1000</f>
        <v>294.11764705882354</v>
      </c>
      <c r="P61" s="8">
        <v>1.6311322568242984E-2</v>
      </c>
      <c r="Q61" s="8">
        <v>0.71638312187620146</v>
      </c>
      <c r="R61" s="8">
        <v>5.2485280925134381E-2</v>
      </c>
      <c r="S61" s="8">
        <f>Tabelle1[[#This Row],[corr_x]]/1000</f>
        <v>10.881568627450982</v>
      </c>
      <c r="T61" s="8">
        <f>Tabelle1[[#This Row],[corr_y]]/1000</f>
        <v>7.1886176470588241</v>
      </c>
      <c r="U61" s="8">
        <f>Tabelle1[[#This Row],[corr_z]]/1000</f>
        <v>29.803921568627452</v>
      </c>
      <c r="V61" s="8">
        <f>Tabelle1[[#This Row],[corr_soma_x]]/1000</f>
        <v>8.3108627450980386</v>
      </c>
      <c r="W61" s="8">
        <f>Tabelle1[[#This Row],[corr_soma_y]]/1000</f>
        <v>6.6194117647058821</v>
      </c>
      <c r="X61" s="8">
        <f>Tabelle1[[#This Row],[corr_soma_z]]/1000</f>
        <v>0.29411764705882354</v>
      </c>
    </row>
    <row r="62" spans="1:24" x14ac:dyDescent="0.35">
      <c r="A62" s="7" t="s">
        <v>5</v>
      </c>
      <c r="B62" s="7" t="s">
        <v>19</v>
      </c>
      <c r="C62" s="6">
        <v>17</v>
      </c>
      <c r="D62" s="1">
        <v>1134.8800000000001</v>
      </c>
      <c r="E62" s="1">
        <v>881.71199999999999</v>
      </c>
      <c r="F62" s="1">
        <v>3092.5</v>
      </c>
      <c r="G62" s="1">
        <v>847.70799999999997</v>
      </c>
      <c r="H62" s="1">
        <v>675.18</v>
      </c>
      <c r="I62" s="1">
        <v>30</v>
      </c>
      <c r="J62" s="2">
        <f>(D62/102)*1000</f>
        <v>11126.274509803921</v>
      </c>
      <c r="K62" s="2">
        <f>(E62/102)*1000</f>
        <v>8644.2352941176468</v>
      </c>
      <c r="L62" s="2">
        <f>(F62/102)*1000</f>
        <v>30318.627450980395</v>
      </c>
      <c r="M62" s="2">
        <f>(G62/102)*1000</f>
        <v>8310.8627450980384</v>
      </c>
      <c r="N62" s="2">
        <f>(H62/102)*1000</f>
        <v>6619.411764705882</v>
      </c>
      <c r="O62" s="2">
        <f>(I62/102)*1000</f>
        <v>294.11764705882354</v>
      </c>
      <c r="P62" s="8">
        <v>4.2517108804306036E-2</v>
      </c>
      <c r="Q62" s="8">
        <v>1.9798827374086891</v>
      </c>
      <c r="R62" s="8">
        <v>0.14562083964689299</v>
      </c>
      <c r="S62" s="8">
        <f>Tabelle1[[#This Row],[corr_x]]/1000</f>
        <v>11.126274509803922</v>
      </c>
      <c r="T62" s="8">
        <f>Tabelle1[[#This Row],[corr_y]]/1000</f>
        <v>8.6442352941176477</v>
      </c>
      <c r="U62" s="8">
        <f>Tabelle1[[#This Row],[corr_z]]/1000</f>
        <v>30.318627450980394</v>
      </c>
      <c r="V62" s="8">
        <f>Tabelle1[[#This Row],[corr_soma_x]]/1000</f>
        <v>8.3108627450980386</v>
      </c>
      <c r="W62" s="8">
        <f>Tabelle1[[#This Row],[corr_soma_y]]/1000</f>
        <v>6.6194117647058821</v>
      </c>
      <c r="X62" s="8">
        <f>Tabelle1[[#This Row],[corr_soma_z]]/1000</f>
        <v>0.29411764705882354</v>
      </c>
    </row>
    <row r="63" spans="1:24" x14ac:dyDescent="0.35">
      <c r="A63" s="7" t="s">
        <v>5</v>
      </c>
      <c r="B63" s="7" t="s">
        <v>18</v>
      </c>
      <c r="C63" s="6">
        <v>48</v>
      </c>
      <c r="D63" s="1">
        <v>1162.6600000000001</v>
      </c>
      <c r="E63" s="1">
        <v>880.72699999999998</v>
      </c>
      <c r="F63" s="1">
        <v>3100</v>
      </c>
      <c r="G63" s="1">
        <v>847.70799999999997</v>
      </c>
      <c r="H63" s="1">
        <v>675.18</v>
      </c>
      <c r="I63" s="1">
        <v>30</v>
      </c>
      <c r="J63" s="2">
        <f>(D63/102)*1000</f>
        <v>11398.627450980393</v>
      </c>
      <c r="K63" s="2">
        <f>(E63/102)*1000</f>
        <v>8634.5784313725489</v>
      </c>
      <c r="L63" s="2">
        <f>(F63/102)*1000</f>
        <v>30392.156862745098</v>
      </c>
      <c r="M63" s="2">
        <f>(G63/102)*1000</f>
        <v>8310.8627450980384</v>
      </c>
      <c r="N63" s="2">
        <f>(H63/102)*1000</f>
        <v>6619.411764705882</v>
      </c>
      <c r="O63" s="2">
        <f>(I63/102)*1000</f>
        <v>294.11764705882354</v>
      </c>
      <c r="P63" s="8">
        <v>9.5516243752402918E-2</v>
      </c>
      <c r="Q63" s="8">
        <v>0.93048250672818145</v>
      </c>
      <c r="R63" s="8">
        <v>7.5647281211600359E-2</v>
      </c>
      <c r="S63" s="8">
        <f>Tabelle1[[#This Row],[corr_x]]/1000</f>
        <v>11.398627450980394</v>
      </c>
      <c r="T63" s="8">
        <f>Tabelle1[[#This Row],[corr_y]]/1000</f>
        <v>8.6345784313725495</v>
      </c>
      <c r="U63" s="8">
        <f>Tabelle1[[#This Row],[corr_z]]/1000</f>
        <v>30.392156862745097</v>
      </c>
      <c r="V63" s="8">
        <f>Tabelle1[[#This Row],[corr_soma_x]]/1000</f>
        <v>8.3108627450980386</v>
      </c>
      <c r="W63" s="8">
        <f>Tabelle1[[#This Row],[corr_soma_y]]/1000</f>
        <v>6.6194117647058821</v>
      </c>
      <c r="X63" s="8">
        <f>Tabelle1[[#This Row],[corr_soma_z]]/1000</f>
        <v>0.29411764705882354</v>
      </c>
    </row>
    <row r="64" spans="1:24" x14ac:dyDescent="0.35">
      <c r="A64" s="7" t="s">
        <v>5</v>
      </c>
      <c r="B64" s="7" t="s">
        <v>19</v>
      </c>
      <c r="C64" s="6">
        <v>18</v>
      </c>
      <c r="D64" s="1">
        <v>1132.01</v>
      </c>
      <c r="E64" s="1">
        <v>852.37200000000007</v>
      </c>
      <c r="F64" s="1">
        <v>3162.5</v>
      </c>
      <c r="G64" s="1">
        <v>847.70799999999997</v>
      </c>
      <c r="H64" s="1">
        <v>675.18</v>
      </c>
      <c r="I64" s="1">
        <v>30</v>
      </c>
      <c r="J64" s="2">
        <f t="shared" ref="J64:J108" si="7">(D64/102)*1000</f>
        <v>11098.13725490196</v>
      </c>
      <c r="K64" s="2">
        <f t="shared" ref="K64:K108" si="8">(E64/102)*1000</f>
        <v>8356.5882352941189</v>
      </c>
      <c r="L64" s="2">
        <f t="shared" ref="L64:L108" si="9">(F64/102)*1000</f>
        <v>31004.901960784311</v>
      </c>
      <c r="M64" s="2">
        <f t="shared" ref="M64:M108" si="10">(G64/102)*1000</f>
        <v>8310.8627450980384</v>
      </c>
      <c r="N64" s="2">
        <f t="shared" ref="N64:N108" si="11">(H64/102)*1000</f>
        <v>6619.411764705882</v>
      </c>
      <c r="O64" s="2">
        <f t="shared" ref="O64:O108" si="12">(I64/102)*1000</f>
        <v>294.11764705882354</v>
      </c>
      <c r="P64" s="8">
        <v>2.9991061130334486E-2</v>
      </c>
      <c r="Q64" s="8">
        <v>0.8818166089965398</v>
      </c>
      <c r="R64" s="8">
        <v>8.354271735606969E-2</v>
      </c>
      <c r="S64" s="8">
        <f>Tabelle1[[#This Row],[corr_x]]/1000</f>
        <v>11.09813725490196</v>
      </c>
      <c r="T64" s="8">
        <f>Tabelle1[[#This Row],[corr_y]]/1000</f>
        <v>8.3565882352941188</v>
      </c>
      <c r="U64" s="8">
        <f>Tabelle1[[#This Row],[corr_z]]/1000</f>
        <v>31.004901960784313</v>
      </c>
      <c r="V64" s="8">
        <f>Tabelle1[[#This Row],[corr_soma_x]]/1000</f>
        <v>8.3108627450980386</v>
      </c>
      <c r="W64" s="8">
        <f>Tabelle1[[#This Row],[corr_soma_y]]/1000</f>
        <v>6.6194117647058821</v>
      </c>
      <c r="X64" s="8">
        <f>Tabelle1[[#This Row],[corr_soma_z]]/1000</f>
        <v>0.29411764705882354</v>
      </c>
    </row>
    <row r="65" spans="1:24" x14ac:dyDescent="0.35">
      <c r="A65" s="7" t="s">
        <v>5</v>
      </c>
      <c r="B65" s="7" t="s">
        <v>18</v>
      </c>
      <c r="C65" s="6">
        <v>49</v>
      </c>
      <c r="D65" s="1">
        <v>1142.1799999999998</v>
      </c>
      <c r="E65" s="1">
        <v>858.2405</v>
      </c>
      <c r="F65" s="1">
        <v>3202.5</v>
      </c>
      <c r="G65" s="1">
        <v>847.70799999999997</v>
      </c>
      <c r="H65" s="1">
        <v>675.18</v>
      </c>
      <c r="I65" s="1">
        <v>30</v>
      </c>
      <c r="J65" s="2">
        <f t="shared" si="7"/>
        <v>11197.8431372549</v>
      </c>
      <c r="K65" s="2">
        <f t="shared" si="8"/>
        <v>8414.1225490196066</v>
      </c>
      <c r="L65" s="2">
        <f t="shared" si="9"/>
        <v>31397.058823529413</v>
      </c>
      <c r="M65" s="2">
        <f t="shared" si="10"/>
        <v>8310.8627450980384</v>
      </c>
      <c r="N65" s="2">
        <f t="shared" si="11"/>
        <v>6619.411764705882</v>
      </c>
      <c r="O65" s="2">
        <f t="shared" si="12"/>
        <v>294.11764705882354</v>
      </c>
      <c r="P65" s="8">
        <v>0.13219627066512879</v>
      </c>
      <c r="Q65" s="8">
        <v>3.3466262975778549</v>
      </c>
      <c r="R65" s="8">
        <v>0.35956852944945761</v>
      </c>
      <c r="S65" s="8">
        <f>Tabelle1[[#This Row],[corr_x]]/1000</f>
        <v>11.1978431372549</v>
      </c>
      <c r="T65" s="8">
        <f>Tabelle1[[#This Row],[corr_y]]/1000</f>
        <v>8.4141225490196074</v>
      </c>
      <c r="U65" s="8">
        <f>Tabelle1[[#This Row],[corr_z]]/1000</f>
        <v>31.397058823529413</v>
      </c>
      <c r="V65" s="8">
        <f>Tabelle1[[#This Row],[corr_soma_x]]/1000</f>
        <v>8.3108627450980386</v>
      </c>
      <c r="W65" s="8">
        <f>Tabelle1[[#This Row],[corr_soma_y]]/1000</f>
        <v>6.6194117647058821</v>
      </c>
      <c r="X65" s="8">
        <f>Tabelle1[[#This Row],[corr_soma_z]]/1000</f>
        <v>0.29411764705882354</v>
      </c>
    </row>
    <row r="66" spans="1:24" x14ac:dyDescent="0.35">
      <c r="A66" s="7" t="s">
        <v>5</v>
      </c>
      <c r="B66" s="7" t="s">
        <v>18</v>
      </c>
      <c r="C66" s="6">
        <v>50</v>
      </c>
      <c r="D66" s="1">
        <v>1220.99</v>
      </c>
      <c r="E66" s="1">
        <v>796.92899999999997</v>
      </c>
      <c r="F66" s="1">
        <v>3310</v>
      </c>
      <c r="G66" s="1">
        <v>847.70799999999997</v>
      </c>
      <c r="H66" s="1">
        <v>675.18</v>
      </c>
      <c r="I66" s="1">
        <v>30</v>
      </c>
      <c r="J66" s="2">
        <f t="shared" si="7"/>
        <v>11970.490196078432</v>
      </c>
      <c r="K66" s="2">
        <f t="shared" si="8"/>
        <v>7813.0294117647054</v>
      </c>
      <c r="L66" s="2">
        <f t="shared" si="9"/>
        <v>32450.980392156864</v>
      </c>
      <c r="M66" s="2">
        <f t="shared" si="10"/>
        <v>8310.8627450980384</v>
      </c>
      <c r="N66" s="2">
        <f t="shared" si="11"/>
        <v>6619.411764705882</v>
      </c>
      <c r="O66" s="2">
        <f t="shared" si="12"/>
        <v>294.11764705882354</v>
      </c>
      <c r="P66" s="8">
        <v>9.1759227220299888E-2</v>
      </c>
      <c r="Q66" s="8">
        <v>2.0071318723567861</v>
      </c>
      <c r="R66" s="8">
        <v>0.14130123406532932</v>
      </c>
      <c r="S66" s="8">
        <f>Tabelle1[[#This Row],[corr_x]]/1000</f>
        <v>11.970490196078432</v>
      </c>
      <c r="T66" s="8">
        <f>Tabelle1[[#This Row],[corr_y]]/1000</f>
        <v>7.8130294117647052</v>
      </c>
      <c r="U66" s="8">
        <f>Tabelle1[[#This Row],[corr_z]]/1000</f>
        <v>32.450980392156865</v>
      </c>
      <c r="V66" s="8">
        <f>Tabelle1[[#This Row],[corr_soma_x]]/1000</f>
        <v>8.3108627450980386</v>
      </c>
      <c r="W66" s="8">
        <f>Tabelle1[[#This Row],[corr_soma_y]]/1000</f>
        <v>6.6194117647058821</v>
      </c>
      <c r="X66" s="8">
        <f>Tabelle1[[#This Row],[corr_soma_z]]/1000</f>
        <v>0.29411764705882354</v>
      </c>
    </row>
    <row r="67" spans="1:24" x14ac:dyDescent="0.35">
      <c r="A67" s="7" t="s">
        <v>5</v>
      </c>
      <c r="B67" s="7" t="s">
        <v>19</v>
      </c>
      <c r="C67" s="6">
        <v>19</v>
      </c>
      <c r="D67" s="1">
        <v>1241.1500000000001</v>
      </c>
      <c r="E67" s="1">
        <v>804.29600000000005</v>
      </c>
      <c r="F67" s="1">
        <v>3345</v>
      </c>
      <c r="G67" s="1">
        <v>847.70799999999997</v>
      </c>
      <c r="H67" s="1">
        <v>675.18</v>
      </c>
      <c r="I67" s="1">
        <v>30</v>
      </c>
      <c r="J67" s="2">
        <f t="shared" si="7"/>
        <v>12168.137254901962</v>
      </c>
      <c r="K67" s="2">
        <f t="shared" si="8"/>
        <v>7885.254901960785</v>
      </c>
      <c r="L67" s="2">
        <f t="shared" si="9"/>
        <v>32794.117647058825</v>
      </c>
      <c r="M67" s="2">
        <f t="shared" si="10"/>
        <v>8310.8627450980384</v>
      </c>
      <c r="N67" s="2">
        <f t="shared" si="11"/>
        <v>6619.411764705882</v>
      </c>
      <c r="O67" s="2">
        <f t="shared" si="12"/>
        <v>294.11764705882354</v>
      </c>
      <c r="P67" s="8">
        <v>2.4469627066512879E-2</v>
      </c>
      <c r="Q67" s="8">
        <v>1.9481353325643984</v>
      </c>
      <c r="R67" s="8">
        <v>0.20024538073591605</v>
      </c>
      <c r="S67" s="8">
        <f>Tabelle1[[#This Row],[corr_x]]/1000</f>
        <v>12.168137254901962</v>
      </c>
      <c r="T67" s="8">
        <f>Tabelle1[[#This Row],[corr_y]]/1000</f>
        <v>7.8852549019607849</v>
      </c>
      <c r="U67" s="8">
        <f>Tabelle1[[#This Row],[corr_z]]/1000</f>
        <v>32.794117647058826</v>
      </c>
      <c r="V67" s="8">
        <f>Tabelle1[[#This Row],[corr_soma_x]]/1000</f>
        <v>8.3108627450980386</v>
      </c>
      <c r="W67" s="8">
        <f>Tabelle1[[#This Row],[corr_soma_y]]/1000</f>
        <v>6.6194117647058821</v>
      </c>
      <c r="X67" s="8">
        <f>Tabelle1[[#This Row],[corr_soma_z]]/1000</f>
        <v>0.29411764705882354</v>
      </c>
    </row>
    <row r="68" spans="1:24" x14ac:dyDescent="0.35">
      <c r="A68" s="7" t="s">
        <v>5</v>
      </c>
      <c r="B68" s="7" t="s">
        <v>18</v>
      </c>
      <c r="C68" s="6">
        <v>51</v>
      </c>
      <c r="D68" s="1">
        <v>1222.8800000000001</v>
      </c>
      <c r="E68" s="1">
        <v>822.10599999999999</v>
      </c>
      <c r="F68" s="1">
        <v>3360</v>
      </c>
      <c r="G68" s="1">
        <v>847.70799999999997</v>
      </c>
      <c r="H68" s="1">
        <v>675.18</v>
      </c>
      <c r="I68" s="1">
        <v>30</v>
      </c>
      <c r="J68" s="2">
        <f t="shared" si="7"/>
        <v>11989.019607843138</v>
      </c>
      <c r="K68" s="2">
        <f t="shared" si="8"/>
        <v>8059.8627450980393</v>
      </c>
      <c r="L68" s="2">
        <f t="shared" si="9"/>
        <v>32941.176470588231</v>
      </c>
      <c r="M68" s="2">
        <f t="shared" si="10"/>
        <v>8310.8627450980384</v>
      </c>
      <c r="N68" s="2">
        <f t="shared" si="11"/>
        <v>6619.411764705882</v>
      </c>
      <c r="O68" s="2">
        <f t="shared" si="12"/>
        <v>294.11764705882354</v>
      </c>
      <c r="P68" s="8">
        <v>8.8253267973856214E-2</v>
      </c>
      <c r="Q68" s="8">
        <v>1.1702998846597461</v>
      </c>
      <c r="R68" s="8">
        <v>6.2512250190349117E-2</v>
      </c>
      <c r="S68" s="8">
        <f>Tabelle1[[#This Row],[corr_x]]/1000</f>
        <v>11.989019607843138</v>
      </c>
      <c r="T68" s="8">
        <f>Tabelle1[[#This Row],[corr_y]]/1000</f>
        <v>8.0598627450980391</v>
      </c>
      <c r="U68" s="8">
        <f>Tabelle1[[#This Row],[corr_z]]/1000</f>
        <v>32.941176470588232</v>
      </c>
      <c r="V68" s="8">
        <f>Tabelle1[[#This Row],[corr_soma_x]]/1000</f>
        <v>8.3108627450980386</v>
      </c>
      <c r="W68" s="8">
        <f>Tabelle1[[#This Row],[corr_soma_y]]/1000</f>
        <v>6.6194117647058821</v>
      </c>
      <c r="X68" s="8">
        <f>Tabelle1[[#This Row],[corr_soma_z]]/1000</f>
        <v>0.29411764705882354</v>
      </c>
    </row>
    <row r="69" spans="1:24" x14ac:dyDescent="0.35">
      <c r="A69" s="7" t="s">
        <v>5</v>
      </c>
      <c r="B69" s="7" t="s">
        <v>18</v>
      </c>
      <c r="C69" s="6">
        <v>52</v>
      </c>
      <c r="D69" s="1">
        <v>1228.1300000000001</v>
      </c>
      <c r="E69" s="1">
        <v>783.78300000000002</v>
      </c>
      <c r="F69" s="1">
        <v>3375</v>
      </c>
      <c r="G69" s="1">
        <v>847.70799999999997</v>
      </c>
      <c r="H69" s="1">
        <v>675.18</v>
      </c>
      <c r="I69" s="1">
        <v>30</v>
      </c>
      <c r="J69" s="2">
        <f t="shared" si="7"/>
        <v>12040.490196078432</v>
      </c>
      <c r="K69" s="2">
        <f t="shared" si="8"/>
        <v>7684.1470588235297</v>
      </c>
      <c r="L69" s="2">
        <f t="shared" si="9"/>
        <v>33088.235294117643</v>
      </c>
      <c r="M69" s="2">
        <f t="shared" si="10"/>
        <v>8310.8627450980384</v>
      </c>
      <c r="N69" s="2">
        <f t="shared" si="11"/>
        <v>6619.411764705882</v>
      </c>
      <c r="O69" s="2">
        <f t="shared" si="12"/>
        <v>294.11764705882354</v>
      </c>
      <c r="P69" s="8">
        <v>9.7386582083813927E-2</v>
      </c>
      <c r="Q69" s="8">
        <v>1.7302960399846212</v>
      </c>
      <c r="R69" s="8">
        <v>0.17169207167680606</v>
      </c>
      <c r="S69" s="8">
        <f>Tabelle1[[#This Row],[corr_x]]/1000</f>
        <v>12.040490196078432</v>
      </c>
      <c r="T69" s="8">
        <f>Tabelle1[[#This Row],[corr_y]]/1000</f>
        <v>7.6841470588235294</v>
      </c>
      <c r="U69" s="8">
        <f>Tabelle1[[#This Row],[corr_z]]/1000</f>
        <v>33.088235294117645</v>
      </c>
      <c r="V69" s="8">
        <f>Tabelle1[[#This Row],[corr_soma_x]]/1000</f>
        <v>8.3108627450980386</v>
      </c>
      <c r="W69" s="8">
        <f>Tabelle1[[#This Row],[corr_soma_y]]/1000</f>
        <v>6.6194117647058821</v>
      </c>
      <c r="X69" s="8">
        <f>Tabelle1[[#This Row],[corr_soma_z]]/1000</f>
        <v>0.29411764705882354</v>
      </c>
    </row>
    <row r="70" spans="1:24" x14ac:dyDescent="0.35">
      <c r="A70" s="7" t="s">
        <v>5</v>
      </c>
      <c r="B70" s="7" t="s">
        <v>18</v>
      </c>
      <c r="C70" s="6">
        <v>53</v>
      </c>
      <c r="D70" s="1">
        <v>1227.5999999999999</v>
      </c>
      <c r="E70" s="1">
        <v>783.81799999999998</v>
      </c>
      <c r="F70" s="1">
        <v>3380</v>
      </c>
      <c r="G70" s="1">
        <v>847.70799999999997</v>
      </c>
      <c r="H70" s="1">
        <v>675.18</v>
      </c>
      <c r="I70" s="1">
        <v>30</v>
      </c>
      <c r="J70" s="2">
        <f t="shared" si="7"/>
        <v>12035.294117647059</v>
      </c>
      <c r="K70" s="2">
        <f t="shared" si="8"/>
        <v>7684.4901960784309</v>
      </c>
      <c r="L70" s="2">
        <f t="shared" si="9"/>
        <v>33137.25490196079</v>
      </c>
      <c r="M70" s="2">
        <f t="shared" si="10"/>
        <v>8310.8627450980384</v>
      </c>
      <c r="N70" s="2">
        <f t="shared" si="11"/>
        <v>6619.411764705882</v>
      </c>
      <c r="O70" s="2">
        <f t="shared" si="12"/>
        <v>294.11764705882354</v>
      </c>
      <c r="P70" s="8">
        <v>0.10714821222606689</v>
      </c>
      <c r="Q70" s="8">
        <v>0.78539311803152634</v>
      </c>
      <c r="R70" s="8">
        <v>4.2108804306036141E-2</v>
      </c>
      <c r="S70" s="8">
        <f>Tabelle1[[#This Row],[corr_x]]/1000</f>
        <v>12.035294117647059</v>
      </c>
      <c r="T70" s="8">
        <f>Tabelle1[[#This Row],[corr_y]]/1000</f>
        <v>7.6844901960784311</v>
      </c>
      <c r="U70" s="8">
        <f>Tabelle1[[#This Row],[corr_z]]/1000</f>
        <v>33.137254901960787</v>
      </c>
      <c r="V70" s="8">
        <f>Tabelle1[[#This Row],[corr_soma_x]]/1000</f>
        <v>8.3108627450980386</v>
      </c>
      <c r="W70" s="8">
        <f>Tabelle1[[#This Row],[corr_soma_y]]/1000</f>
        <v>6.6194117647058821</v>
      </c>
      <c r="X70" s="8">
        <f>Tabelle1[[#This Row],[corr_soma_z]]/1000</f>
        <v>0.29411764705882354</v>
      </c>
    </row>
    <row r="71" spans="1:24" x14ac:dyDescent="0.35">
      <c r="A71" s="7" t="s">
        <v>5</v>
      </c>
      <c r="B71" s="7" t="s">
        <v>18</v>
      </c>
      <c r="C71" s="6">
        <v>54</v>
      </c>
      <c r="D71" s="1">
        <v>1205.43</v>
      </c>
      <c r="E71" s="1">
        <v>770.03399999999999</v>
      </c>
      <c r="F71" s="1">
        <v>3630</v>
      </c>
      <c r="G71" s="1">
        <v>847.70799999999997</v>
      </c>
      <c r="H71" s="1">
        <v>675.18</v>
      </c>
      <c r="I71" s="1">
        <v>30</v>
      </c>
      <c r="J71" s="2">
        <f t="shared" si="7"/>
        <v>11817.941176470589</v>
      </c>
      <c r="K71" s="2">
        <f t="shared" si="8"/>
        <v>7549.3529411764712</v>
      </c>
      <c r="L71" s="2">
        <f t="shared" si="9"/>
        <v>35588.235294117643</v>
      </c>
      <c r="M71" s="2">
        <f t="shared" si="10"/>
        <v>8310.8627450980384</v>
      </c>
      <c r="N71" s="2">
        <f t="shared" si="11"/>
        <v>6619.411764705882</v>
      </c>
      <c r="O71" s="2">
        <f t="shared" si="12"/>
        <v>294.11764705882354</v>
      </c>
      <c r="P71" s="8">
        <v>8.0236928104575167E-2</v>
      </c>
      <c r="Q71" s="8">
        <v>0.90971357170319112</v>
      </c>
      <c r="R71" s="8">
        <v>4.4747778003935132E-2</v>
      </c>
      <c r="S71" s="8">
        <f>Tabelle1[[#This Row],[corr_x]]/1000</f>
        <v>11.817941176470589</v>
      </c>
      <c r="T71" s="8">
        <f>Tabelle1[[#This Row],[corr_y]]/1000</f>
        <v>7.5493529411764708</v>
      </c>
      <c r="U71" s="8">
        <f>Tabelle1[[#This Row],[corr_z]]/1000</f>
        <v>35.588235294117645</v>
      </c>
      <c r="V71" s="8">
        <f>Tabelle1[[#This Row],[corr_soma_x]]/1000</f>
        <v>8.3108627450980386</v>
      </c>
      <c r="W71" s="8">
        <f>Tabelle1[[#This Row],[corr_soma_y]]/1000</f>
        <v>6.6194117647058821</v>
      </c>
      <c r="X71" s="8">
        <f>Tabelle1[[#This Row],[corr_soma_z]]/1000</f>
        <v>0.29411764705882354</v>
      </c>
    </row>
    <row r="72" spans="1:24" x14ac:dyDescent="0.35">
      <c r="A72" s="7" t="s">
        <v>5</v>
      </c>
      <c r="B72" s="7" t="s">
        <v>18</v>
      </c>
      <c r="C72" s="6">
        <v>55</v>
      </c>
      <c r="D72" s="1">
        <v>1197.43</v>
      </c>
      <c r="E72" s="1">
        <v>743.56100000000004</v>
      </c>
      <c r="F72" s="1">
        <v>3645</v>
      </c>
      <c r="G72" s="1">
        <v>847.70799999999997</v>
      </c>
      <c r="H72" s="1">
        <v>675.18</v>
      </c>
      <c r="I72" s="1">
        <v>30</v>
      </c>
      <c r="J72" s="2">
        <f t="shared" si="7"/>
        <v>11739.50980392157</v>
      </c>
      <c r="K72" s="2">
        <f t="shared" si="8"/>
        <v>7289.8137254901967</v>
      </c>
      <c r="L72" s="2">
        <f t="shared" si="9"/>
        <v>35735.294117647056</v>
      </c>
      <c r="M72" s="2">
        <f t="shared" si="10"/>
        <v>8310.8627450980384</v>
      </c>
      <c r="N72" s="2">
        <f t="shared" si="11"/>
        <v>6619.411764705882</v>
      </c>
      <c r="O72" s="2">
        <f t="shared" si="12"/>
        <v>294.11764705882354</v>
      </c>
      <c r="P72" s="8">
        <v>7.0235774702037679E-2</v>
      </c>
      <c r="Q72" s="8">
        <v>1.3915032679738564</v>
      </c>
      <c r="R72" s="8">
        <v>0.11689225863355723</v>
      </c>
      <c r="S72" s="8">
        <f>Tabelle1[[#This Row],[corr_x]]/1000</f>
        <v>11.739509803921569</v>
      </c>
      <c r="T72" s="8">
        <f>Tabelle1[[#This Row],[corr_y]]/1000</f>
        <v>7.2898137254901965</v>
      </c>
      <c r="U72" s="8">
        <f>Tabelle1[[#This Row],[corr_z]]/1000</f>
        <v>35.735294117647058</v>
      </c>
      <c r="V72" s="8">
        <f>Tabelle1[[#This Row],[corr_soma_x]]/1000</f>
        <v>8.3108627450980386</v>
      </c>
      <c r="W72" s="8">
        <f>Tabelle1[[#This Row],[corr_soma_y]]/1000</f>
        <v>6.6194117647058821</v>
      </c>
      <c r="X72" s="8">
        <f>Tabelle1[[#This Row],[corr_soma_z]]/1000</f>
        <v>0.29411764705882354</v>
      </c>
    </row>
    <row r="73" spans="1:24" x14ac:dyDescent="0.35">
      <c r="A73" s="7" t="s">
        <v>5</v>
      </c>
      <c r="B73" s="7" t="s">
        <v>18</v>
      </c>
      <c r="C73" s="6">
        <v>56</v>
      </c>
      <c r="D73" s="1">
        <v>1244.0300000000002</v>
      </c>
      <c r="E73" s="1">
        <v>773.42550000000006</v>
      </c>
      <c r="F73" s="1">
        <v>3727.5</v>
      </c>
      <c r="G73" s="1">
        <v>847.70799999999997</v>
      </c>
      <c r="H73" s="1">
        <v>675.18</v>
      </c>
      <c r="I73" s="1">
        <v>30</v>
      </c>
      <c r="J73" s="2">
        <f t="shared" si="7"/>
        <v>12196.37254901961</v>
      </c>
      <c r="K73" s="2">
        <f t="shared" si="8"/>
        <v>7582.6029411764712</v>
      </c>
      <c r="L73" s="2">
        <f t="shared" si="9"/>
        <v>36544.117647058825</v>
      </c>
      <c r="M73" s="2">
        <f t="shared" si="10"/>
        <v>8310.8627450980384</v>
      </c>
      <c r="N73" s="2">
        <f t="shared" si="11"/>
        <v>6619.411764705882</v>
      </c>
      <c r="O73" s="2">
        <f t="shared" si="12"/>
        <v>294.11764705882354</v>
      </c>
      <c r="P73" s="8">
        <v>6.9132160707420218E-2</v>
      </c>
      <c r="Q73" s="8">
        <v>1.6773452518262206</v>
      </c>
      <c r="R73" s="8">
        <v>0.15502804351267613</v>
      </c>
      <c r="S73" s="8">
        <f>Tabelle1[[#This Row],[corr_x]]/1000</f>
        <v>12.19637254901961</v>
      </c>
      <c r="T73" s="8">
        <f>Tabelle1[[#This Row],[corr_y]]/1000</f>
        <v>7.5826029411764715</v>
      </c>
      <c r="U73" s="8">
        <f>Tabelle1[[#This Row],[corr_z]]/1000</f>
        <v>36.544117647058826</v>
      </c>
      <c r="V73" s="8">
        <f>Tabelle1[[#This Row],[corr_soma_x]]/1000</f>
        <v>8.3108627450980386</v>
      </c>
      <c r="W73" s="8">
        <f>Tabelle1[[#This Row],[corr_soma_y]]/1000</f>
        <v>6.6194117647058821</v>
      </c>
      <c r="X73" s="8">
        <f>Tabelle1[[#This Row],[corr_soma_z]]/1000</f>
        <v>0.29411764705882354</v>
      </c>
    </row>
    <row r="74" spans="1:24" x14ac:dyDescent="0.35">
      <c r="A74" s="7" t="s">
        <v>5</v>
      </c>
      <c r="B74" s="7" t="s">
        <v>18</v>
      </c>
      <c r="C74" s="6">
        <v>57</v>
      </c>
      <c r="D74" s="1">
        <v>1217.54</v>
      </c>
      <c r="E74" s="1">
        <v>673.21049999999991</v>
      </c>
      <c r="F74" s="1">
        <v>3807.5</v>
      </c>
      <c r="G74" s="1">
        <v>847.70799999999997</v>
      </c>
      <c r="H74" s="1">
        <v>675.18</v>
      </c>
      <c r="I74" s="1">
        <v>30</v>
      </c>
      <c r="J74" s="2">
        <f t="shared" si="7"/>
        <v>11936.666666666666</v>
      </c>
      <c r="K74" s="2">
        <f t="shared" si="8"/>
        <v>6600.1029411764694</v>
      </c>
      <c r="L74" s="2">
        <f t="shared" si="9"/>
        <v>37328.431372549021</v>
      </c>
      <c r="M74" s="2">
        <f t="shared" si="10"/>
        <v>8310.8627450980384</v>
      </c>
      <c r="N74" s="2">
        <f t="shared" si="11"/>
        <v>6619.411764705882</v>
      </c>
      <c r="O74" s="2">
        <f t="shared" si="12"/>
        <v>294.11764705882354</v>
      </c>
      <c r="P74" s="8">
        <v>0.10115436370626683</v>
      </c>
      <c r="Q74" s="8">
        <v>1.2750192233756248</v>
      </c>
      <c r="R74" s="8">
        <v>0.1324151344505507</v>
      </c>
      <c r="S74" s="8">
        <f>Tabelle1[[#This Row],[corr_x]]/1000</f>
        <v>11.936666666666666</v>
      </c>
      <c r="T74" s="8">
        <f>Tabelle1[[#This Row],[corr_y]]/1000</f>
        <v>6.6001029411764698</v>
      </c>
      <c r="U74" s="8">
        <f>Tabelle1[[#This Row],[corr_z]]/1000</f>
        <v>37.328431372549019</v>
      </c>
      <c r="V74" s="8">
        <f>Tabelle1[[#This Row],[corr_soma_x]]/1000</f>
        <v>8.3108627450980386</v>
      </c>
      <c r="W74" s="8">
        <f>Tabelle1[[#This Row],[corr_soma_y]]/1000</f>
        <v>6.6194117647058821</v>
      </c>
      <c r="X74" s="8">
        <f>Tabelle1[[#This Row],[corr_soma_z]]/1000</f>
        <v>0.29411764705882354</v>
      </c>
    </row>
    <row r="75" spans="1:24" x14ac:dyDescent="0.35">
      <c r="A75" s="7" t="s">
        <v>5</v>
      </c>
      <c r="B75" s="7" t="s">
        <v>18</v>
      </c>
      <c r="C75" s="6">
        <v>58</v>
      </c>
      <c r="D75" s="1">
        <v>1225.7149999999999</v>
      </c>
      <c r="E75" s="1">
        <v>703.57850000000008</v>
      </c>
      <c r="F75" s="1">
        <v>3822.5</v>
      </c>
      <c r="G75" s="1">
        <v>847.70799999999997</v>
      </c>
      <c r="H75" s="1">
        <v>675.18</v>
      </c>
      <c r="I75" s="1">
        <v>30</v>
      </c>
      <c r="J75" s="2">
        <f t="shared" si="7"/>
        <v>12016.813725490196</v>
      </c>
      <c r="K75" s="2">
        <f t="shared" si="8"/>
        <v>6897.8284313725499</v>
      </c>
      <c r="L75" s="2">
        <f t="shared" si="9"/>
        <v>37475.490196078434</v>
      </c>
      <c r="M75" s="2">
        <f t="shared" si="10"/>
        <v>8310.8627450980384</v>
      </c>
      <c r="N75" s="2">
        <f t="shared" si="11"/>
        <v>6619.411764705882</v>
      </c>
      <c r="O75" s="2">
        <f t="shared" si="12"/>
        <v>294.11764705882354</v>
      </c>
      <c r="P75" s="8">
        <v>5.2166762783544797E-2</v>
      </c>
      <c r="Q75" s="8">
        <v>0.72486543637062673</v>
      </c>
      <c r="R75" s="8">
        <v>3.1831648460999167E-2</v>
      </c>
      <c r="S75" s="8">
        <f>Tabelle1[[#This Row],[corr_x]]/1000</f>
        <v>12.016813725490195</v>
      </c>
      <c r="T75" s="8">
        <f>Tabelle1[[#This Row],[corr_y]]/1000</f>
        <v>6.8978284313725498</v>
      </c>
      <c r="U75" s="8">
        <f>Tabelle1[[#This Row],[corr_z]]/1000</f>
        <v>37.475490196078432</v>
      </c>
      <c r="V75" s="8">
        <f>Tabelle1[[#This Row],[corr_soma_x]]/1000</f>
        <v>8.3108627450980386</v>
      </c>
      <c r="W75" s="8">
        <f>Tabelle1[[#This Row],[corr_soma_y]]/1000</f>
        <v>6.6194117647058821</v>
      </c>
      <c r="X75" s="8">
        <f>Tabelle1[[#This Row],[corr_soma_z]]/1000</f>
        <v>0.29411764705882354</v>
      </c>
    </row>
    <row r="76" spans="1:24" x14ac:dyDescent="0.35">
      <c r="A76" s="7" t="s">
        <v>5</v>
      </c>
      <c r="B76" s="7" t="s">
        <v>18</v>
      </c>
      <c r="C76" s="6">
        <v>59</v>
      </c>
      <c r="D76" s="1">
        <v>1241.4099999999999</v>
      </c>
      <c r="E76" s="1">
        <v>705.92450000000008</v>
      </c>
      <c r="F76" s="1">
        <v>3877.5</v>
      </c>
      <c r="G76" s="1">
        <v>847.70799999999997</v>
      </c>
      <c r="H76" s="1">
        <v>675.18</v>
      </c>
      <c r="I76" s="1">
        <v>30</v>
      </c>
      <c r="J76" s="2">
        <f t="shared" si="7"/>
        <v>12170.686274509802</v>
      </c>
      <c r="K76" s="2">
        <f t="shared" si="8"/>
        <v>6920.8284313725499</v>
      </c>
      <c r="L76" s="2">
        <f t="shared" si="9"/>
        <v>38014.705882352944</v>
      </c>
      <c r="M76" s="2">
        <f t="shared" si="10"/>
        <v>8310.8627450980384</v>
      </c>
      <c r="N76" s="2">
        <f t="shared" si="11"/>
        <v>6619.411764705882</v>
      </c>
      <c r="O76" s="2">
        <f t="shared" si="12"/>
        <v>294.11764705882354</v>
      </c>
      <c r="P76" s="8">
        <v>6.3288638985005766E-2</v>
      </c>
      <c r="Q76" s="8">
        <v>0.96612841214917344</v>
      </c>
      <c r="R76" s="8">
        <v>6.8891489698532232E-2</v>
      </c>
      <c r="S76" s="8">
        <f>Tabelle1[[#This Row],[corr_x]]/1000</f>
        <v>12.170686274509803</v>
      </c>
      <c r="T76" s="8">
        <f>Tabelle1[[#This Row],[corr_y]]/1000</f>
        <v>6.9208284313725494</v>
      </c>
      <c r="U76" s="8">
        <f>Tabelle1[[#This Row],[corr_z]]/1000</f>
        <v>38.014705882352942</v>
      </c>
      <c r="V76" s="8">
        <f>Tabelle1[[#This Row],[corr_soma_x]]/1000</f>
        <v>8.3108627450980386</v>
      </c>
      <c r="W76" s="8">
        <f>Tabelle1[[#This Row],[corr_soma_y]]/1000</f>
        <v>6.6194117647058821</v>
      </c>
      <c r="X76" s="8">
        <f>Tabelle1[[#This Row],[corr_soma_z]]/1000</f>
        <v>0.29411764705882354</v>
      </c>
    </row>
    <row r="77" spans="1:24" x14ac:dyDescent="0.35">
      <c r="A77" s="7" t="s">
        <v>5</v>
      </c>
      <c r="B77" s="7" t="s">
        <v>19</v>
      </c>
      <c r="C77" s="6">
        <v>20</v>
      </c>
      <c r="D77" s="1">
        <v>1288.2350000000001</v>
      </c>
      <c r="E77" s="1">
        <v>690.49900000000002</v>
      </c>
      <c r="F77" s="1">
        <v>3932.5</v>
      </c>
      <c r="G77" s="1">
        <v>847.70799999999997</v>
      </c>
      <c r="H77" s="1">
        <v>675.18</v>
      </c>
      <c r="I77" s="1">
        <v>30</v>
      </c>
      <c r="J77" s="2">
        <f t="shared" si="7"/>
        <v>12629.754901960785</v>
      </c>
      <c r="K77" s="2">
        <f t="shared" si="8"/>
        <v>6769.5980392156871</v>
      </c>
      <c r="L77" s="2">
        <f t="shared" si="9"/>
        <v>38553.921568627455</v>
      </c>
      <c r="M77" s="2">
        <f t="shared" si="10"/>
        <v>8310.8627450980384</v>
      </c>
      <c r="N77" s="2">
        <f t="shared" si="11"/>
        <v>6619.411764705882</v>
      </c>
      <c r="O77" s="2">
        <f t="shared" si="12"/>
        <v>294.11764705882354</v>
      </c>
      <c r="P77" s="8">
        <v>5.0021722414455981E-2</v>
      </c>
      <c r="Q77" s="8">
        <v>1.2099000384467511</v>
      </c>
      <c r="R77" s="8">
        <v>8.4513497825120049E-2</v>
      </c>
      <c r="S77" s="8">
        <f>Tabelle1[[#This Row],[corr_x]]/1000</f>
        <v>12.629754901960785</v>
      </c>
      <c r="T77" s="8">
        <f>Tabelle1[[#This Row],[corr_y]]/1000</f>
        <v>6.7695980392156869</v>
      </c>
      <c r="U77" s="8">
        <f>Tabelle1[[#This Row],[corr_z]]/1000</f>
        <v>38.553921568627452</v>
      </c>
      <c r="V77" s="8">
        <f>Tabelle1[[#This Row],[corr_soma_x]]/1000</f>
        <v>8.3108627450980386</v>
      </c>
      <c r="W77" s="8">
        <f>Tabelle1[[#This Row],[corr_soma_y]]/1000</f>
        <v>6.6194117647058821</v>
      </c>
      <c r="X77" s="8">
        <f>Tabelle1[[#This Row],[corr_soma_z]]/1000</f>
        <v>0.29411764705882354</v>
      </c>
    </row>
    <row r="78" spans="1:24" x14ac:dyDescent="0.35">
      <c r="A78" s="7" t="s">
        <v>5</v>
      </c>
      <c r="B78" s="7" t="s">
        <v>19</v>
      </c>
      <c r="C78" s="6">
        <v>21</v>
      </c>
      <c r="D78" s="1">
        <v>1193.8600000000001</v>
      </c>
      <c r="E78" s="1">
        <v>701.44749999999999</v>
      </c>
      <c r="F78" s="1">
        <v>3952.5</v>
      </c>
      <c r="G78" s="1">
        <v>847.70799999999997</v>
      </c>
      <c r="H78" s="1">
        <v>675.18</v>
      </c>
      <c r="I78" s="1">
        <v>30</v>
      </c>
      <c r="J78" s="2">
        <f t="shared" si="7"/>
        <v>11704.50980392157</v>
      </c>
      <c r="K78" s="2">
        <f t="shared" si="8"/>
        <v>6876.9362745098042</v>
      </c>
      <c r="L78" s="2">
        <f t="shared" si="9"/>
        <v>38750</v>
      </c>
      <c r="M78" s="2">
        <f t="shared" si="10"/>
        <v>8310.8627450980384</v>
      </c>
      <c r="N78" s="2">
        <f t="shared" si="11"/>
        <v>6619.411764705882</v>
      </c>
      <c r="O78" s="2">
        <f t="shared" si="12"/>
        <v>294.11764705882354</v>
      </c>
      <c r="P78" s="8">
        <v>6.6630142252979627E-2</v>
      </c>
      <c r="Q78" s="8">
        <v>1.0533737024221452</v>
      </c>
      <c r="R78" s="8">
        <v>7.3429525597243889E-2</v>
      </c>
      <c r="S78" s="8">
        <f>Tabelle1[[#This Row],[corr_x]]/1000</f>
        <v>11.704509803921569</v>
      </c>
      <c r="T78" s="8">
        <f>Tabelle1[[#This Row],[corr_y]]/1000</f>
        <v>6.8769362745098039</v>
      </c>
      <c r="U78" s="8">
        <f>Tabelle1[[#This Row],[corr_z]]/1000</f>
        <v>38.75</v>
      </c>
      <c r="V78" s="8">
        <f>Tabelle1[[#This Row],[corr_soma_x]]/1000</f>
        <v>8.3108627450980386</v>
      </c>
      <c r="W78" s="8">
        <f>Tabelle1[[#This Row],[corr_soma_y]]/1000</f>
        <v>6.6194117647058821</v>
      </c>
      <c r="X78" s="8">
        <f>Tabelle1[[#This Row],[corr_soma_z]]/1000</f>
        <v>0.29411764705882354</v>
      </c>
    </row>
    <row r="79" spans="1:24" x14ac:dyDescent="0.35">
      <c r="A79" s="7" t="s">
        <v>5</v>
      </c>
      <c r="B79" s="7" t="s">
        <v>18</v>
      </c>
      <c r="C79" s="6">
        <v>60</v>
      </c>
      <c r="D79" s="1">
        <v>1314.17</v>
      </c>
      <c r="E79" s="1">
        <v>687.05849999999998</v>
      </c>
      <c r="F79" s="1">
        <v>3982.5</v>
      </c>
      <c r="G79" s="1">
        <v>847.70799999999997</v>
      </c>
      <c r="H79" s="1">
        <v>675.18</v>
      </c>
      <c r="I79" s="1">
        <v>30</v>
      </c>
      <c r="J79" s="2">
        <f t="shared" si="7"/>
        <v>12884.019607843138</v>
      </c>
      <c r="K79" s="2">
        <f t="shared" si="8"/>
        <v>6735.8676470588234</v>
      </c>
      <c r="L79" s="2">
        <f t="shared" si="9"/>
        <v>39044.117647058825</v>
      </c>
      <c r="M79" s="2">
        <f t="shared" si="10"/>
        <v>8310.8627450980384</v>
      </c>
      <c r="N79" s="2">
        <f t="shared" si="11"/>
        <v>6619.411764705882</v>
      </c>
      <c r="O79" s="2">
        <f t="shared" si="12"/>
        <v>294.11764705882354</v>
      </c>
      <c r="P79" s="8">
        <v>6.5949154171472513E-2</v>
      </c>
      <c r="Q79" s="8">
        <v>0.75370338331410991</v>
      </c>
      <c r="R79" s="8">
        <v>5.2969069211690825E-2</v>
      </c>
      <c r="S79" s="8">
        <f>Tabelle1[[#This Row],[corr_x]]/1000</f>
        <v>12.884019607843138</v>
      </c>
      <c r="T79" s="8">
        <f>Tabelle1[[#This Row],[corr_y]]/1000</f>
        <v>6.7358676470588232</v>
      </c>
      <c r="U79" s="8">
        <f>Tabelle1[[#This Row],[corr_z]]/1000</f>
        <v>39.044117647058826</v>
      </c>
      <c r="V79" s="8">
        <f>Tabelle1[[#This Row],[corr_soma_x]]/1000</f>
        <v>8.3108627450980386</v>
      </c>
      <c r="W79" s="8">
        <f>Tabelle1[[#This Row],[corr_soma_y]]/1000</f>
        <v>6.6194117647058821</v>
      </c>
      <c r="X79" s="8">
        <f>Tabelle1[[#This Row],[corr_soma_z]]/1000</f>
        <v>0.29411764705882354</v>
      </c>
    </row>
    <row r="80" spans="1:24" x14ac:dyDescent="0.35">
      <c r="A80" s="7" t="s">
        <v>5</v>
      </c>
      <c r="B80" s="7" t="s">
        <v>19</v>
      </c>
      <c r="C80" s="6">
        <v>22</v>
      </c>
      <c r="D80" s="1">
        <v>1319.79</v>
      </c>
      <c r="E80" s="1">
        <v>705.47</v>
      </c>
      <c r="F80" s="1">
        <v>4000</v>
      </c>
      <c r="G80" s="1">
        <v>847.70799999999997</v>
      </c>
      <c r="H80" s="1">
        <v>675.18</v>
      </c>
      <c r="I80" s="1">
        <v>30</v>
      </c>
      <c r="J80" s="2">
        <f t="shared" si="7"/>
        <v>12939.117647058823</v>
      </c>
      <c r="K80" s="2">
        <f t="shared" si="8"/>
        <v>6916.3725490196084</v>
      </c>
      <c r="L80" s="2">
        <f t="shared" si="9"/>
        <v>39215.686274509804</v>
      </c>
      <c r="M80" s="2">
        <f t="shared" si="10"/>
        <v>8310.8627450980384</v>
      </c>
      <c r="N80" s="2">
        <f t="shared" si="11"/>
        <v>6619.411764705882</v>
      </c>
      <c r="O80" s="2">
        <f t="shared" si="12"/>
        <v>294.11764705882354</v>
      </c>
      <c r="P80" s="8">
        <v>2.9403883121876202E-2</v>
      </c>
      <c r="Q80" s="8">
        <v>0.32979719338715879</v>
      </c>
      <c r="R80" s="8">
        <v>2.8154706711596596E-2</v>
      </c>
      <c r="S80" s="8">
        <f>Tabelle1[[#This Row],[corr_x]]/1000</f>
        <v>12.939117647058824</v>
      </c>
      <c r="T80" s="8">
        <f>Tabelle1[[#This Row],[corr_y]]/1000</f>
        <v>6.9163725490196084</v>
      </c>
      <c r="U80" s="8">
        <f>Tabelle1[[#This Row],[corr_z]]/1000</f>
        <v>39.215686274509807</v>
      </c>
      <c r="V80" s="8">
        <f>Tabelle1[[#This Row],[corr_soma_x]]/1000</f>
        <v>8.3108627450980386</v>
      </c>
      <c r="W80" s="8">
        <f>Tabelle1[[#This Row],[corr_soma_y]]/1000</f>
        <v>6.6194117647058821</v>
      </c>
      <c r="X80" s="8">
        <f>Tabelle1[[#This Row],[corr_soma_z]]/1000</f>
        <v>0.29411764705882354</v>
      </c>
    </row>
    <row r="81" spans="1:24" x14ac:dyDescent="0.35">
      <c r="A81" s="7" t="s">
        <v>5</v>
      </c>
      <c r="B81" s="7" t="s">
        <v>18</v>
      </c>
      <c r="C81" s="6">
        <v>61</v>
      </c>
      <c r="D81" s="1">
        <v>1095.93</v>
      </c>
      <c r="E81" s="1">
        <v>732.16150000000005</v>
      </c>
      <c r="F81" s="1">
        <v>4092.5</v>
      </c>
      <c r="G81" s="1">
        <v>847.70799999999997</v>
      </c>
      <c r="H81" s="1">
        <v>675.18</v>
      </c>
      <c r="I81" s="1">
        <v>30</v>
      </c>
      <c r="J81" s="2">
        <f t="shared" si="7"/>
        <v>10744.411764705883</v>
      </c>
      <c r="K81" s="2">
        <f t="shared" si="8"/>
        <v>7178.0539215686276</v>
      </c>
      <c r="L81" s="2">
        <f t="shared" si="9"/>
        <v>40122.549019607846</v>
      </c>
      <c r="M81" s="2">
        <f t="shared" si="10"/>
        <v>8310.8627450980384</v>
      </c>
      <c r="N81" s="2">
        <f t="shared" si="11"/>
        <v>6619.411764705882</v>
      </c>
      <c r="O81" s="2">
        <f t="shared" si="12"/>
        <v>294.11764705882354</v>
      </c>
      <c r="P81" s="8">
        <v>0.12269703960015378</v>
      </c>
      <c r="Q81" s="8">
        <v>3.1434544405997693</v>
      </c>
      <c r="R81" s="8">
        <v>0.21308734951112318</v>
      </c>
      <c r="S81" s="8">
        <f>Tabelle1[[#This Row],[corr_x]]/1000</f>
        <v>10.744411764705882</v>
      </c>
      <c r="T81" s="8">
        <f>Tabelle1[[#This Row],[corr_y]]/1000</f>
        <v>7.1780539215686279</v>
      </c>
      <c r="U81" s="8">
        <f>Tabelle1[[#This Row],[corr_z]]/1000</f>
        <v>40.122549019607845</v>
      </c>
      <c r="V81" s="8">
        <f>Tabelle1[[#This Row],[corr_soma_x]]/1000</f>
        <v>8.3108627450980386</v>
      </c>
      <c r="W81" s="8">
        <f>Tabelle1[[#This Row],[corr_soma_y]]/1000</f>
        <v>6.6194117647058821</v>
      </c>
      <c r="X81" s="8">
        <f>Tabelle1[[#This Row],[corr_soma_z]]/1000</f>
        <v>0.29411764705882354</v>
      </c>
    </row>
    <row r="82" spans="1:24" x14ac:dyDescent="0.35">
      <c r="A82" s="7" t="s">
        <v>5</v>
      </c>
      <c r="B82" s="7" t="s">
        <v>19</v>
      </c>
      <c r="C82" s="6">
        <v>23</v>
      </c>
      <c r="D82" s="1">
        <v>1130.21</v>
      </c>
      <c r="E82" s="1">
        <v>746.65099999999995</v>
      </c>
      <c r="F82" s="1">
        <v>4190</v>
      </c>
      <c r="G82" s="1">
        <v>847.70799999999997</v>
      </c>
      <c r="H82" s="1">
        <v>675.18</v>
      </c>
      <c r="I82" s="1">
        <v>30</v>
      </c>
      <c r="J82" s="2">
        <f t="shared" si="7"/>
        <v>11080.490196078432</v>
      </c>
      <c r="K82" s="2">
        <f t="shared" si="8"/>
        <v>7320.1078431372543</v>
      </c>
      <c r="L82" s="2">
        <f t="shared" si="9"/>
        <v>41078.431372549021</v>
      </c>
      <c r="M82" s="2">
        <f t="shared" si="10"/>
        <v>8310.8627450980384</v>
      </c>
      <c r="N82" s="2">
        <f t="shared" si="11"/>
        <v>6619.411764705882</v>
      </c>
      <c r="O82" s="2">
        <f t="shared" si="12"/>
        <v>294.11764705882354</v>
      </c>
      <c r="P82" s="8">
        <v>0.13317089580930411</v>
      </c>
      <c r="Q82" s="8">
        <v>2.9264033064206072</v>
      </c>
      <c r="R82" s="8">
        <v>0.22534979005058386</v>
      </c>
      <c r="S82" s="8">
        <f>Tabelle1[[#This Row],[corr_x]]/1000</f>
        <v>11.080490196078431</v>
      </c>
      <c r="T82" s="8">
        <f>Tabelle1[[#This Row],[corr_y]]/1000</f>
        <v>7.3201078431372544</v>
      </c>
      <c r="U82" s="8">
        <f>Tabelle1[[#This Row],[corr_z]]/1000</f>
        <v>41.078431372549019</v>
      </c>
      <c r="V82" s="8">
        <f>Tabelle1[[#This Row],[corr_soma_x]]/1000</f>
        <v>8.3108627450980386</v>
      </c>
      <c r="W82" s="8">
        <f>Tabelle1[[#This Row],[corr_soma_y]]/1000</f>
        <v>6.6194117647058821</v>
      </c>
      <c r="X82" s="8">
        <f>Tabelle1[[#This Row],[corr_soma_z]]/1000</f>
        <v>0.29411764705882354</v>
      </c>
    </row>
    <row r="83" spans="1:24" x14ac:dyDescent="0.35">
      <c r="A83" s="7" t="s">
        <v>5</v>
      </c>
      <c r="B83" s="7" t="s">
        <v>18</v>
      </c>
      <c r="C83" s="6">
        <v>62</v>
      </c>
      <c r="D83" s="1">
        <v>1021.44</v>
      </c>
      <c r="E83" s="1">
        <v>782.3</v>
      </c>
      <c r="F83" s="1">
        <v>4315</v>
      </c>
      <c r="G83" s="1">
        <v>847.70799999999997</v>
      </c>
      <c r="H83" s="1">
        <v>675.18</v>
      </c>
      <c r="I83" s="1">
        <v>30</v>
      </c>
      <c r="J83" s="2">
        <f t="shared" si="7"/>
        <v>10014.117647058825</v>
      </c>
      <c r="K83" s="2">
        <f t="shared" si="8"/>
        <v>7669.6078431372543</v>
      </c>
      <c r="L83" s="2">
        <f t="shared" si="9"/>
        <v>42303.921568627455</v>
      </c>
      <c r="M83" s="2">
        <f t="shared" si="10"/>
        <v>8310.8627450980384</v>
      </c>
      <c r="N83" s="2">
        <f t="shared" si="11"/>
        <v>6619.411764705882</v>
      </c>
      <c r="O83" s="2">
        <f t="shared" si="12"/>
        <v>294.11764705882354</v>
      </c>
      <c r="P83" s="8">
        <v>0.11155805459438678</v>
      </c>
      <c r="Q83" s="8">
        <v>1.5667435601691657</v>
      </c>
      <c r="R83" s="8">
        <v>0.14831116991202478</v>
      </c>
      <c r="S83" s="8">
        <f>Tabelle1[[#This Row],[corr_x]]/1000</f>
        <v>10.014117647058825</v>
      </c>
      <c r="T83" s="8">
        <f>Tabelle1[[#This Row],[corr_y]]/1000</f>
        <v>7.6696078431372543</v>
      </c>
      <c r="U83" s="8">
        <f>Tabelle1[[#This Row],[corr_z]]/1000</f>
        <v>42.303921568627452</v>
      </c>
      <c r="V83" s="8">
        <f>Tabelle1[[#This Row],[corr_soma_x]]/1000</f>
        <v>8.3108627450980386</v>
      </c>
      <c r="W83" s="8">
        <f>Tabelle1[[#This Row],[corr_soma_y]]/1000</f>
        <v>6.6194117647058821</v>
      </c>
      <c r="X83" s="8">
        <f>Tabelle1[[#This Row],[corr_soma_z]]/1000</f>
        <v>0.29411764705882354</v>
      </c>
    </row>
    <row r="84" spans="1:24" x14ac:dyDescent="0.35">
      <c r="A84" s="7" t="s">
        <v>5</v>
      </c>
      <c r="B84" s="7" t="s">
        <v>18</v>
      </c>
      <c r="C84" s="6">
        <v>63</v>
      </c>
      <c r="D84" s="1">
        <v>1028.4099999999999</v>
      </c>
      <c r="E84" s="1">
        <v>796.45650000000001</v>
      </c>
      <c r="F84" s="1">
        <v>4507.5</v>
      </c>
      <c r="G84" s="1">
        <v>847.70799999999997</v>
      </c>
      <c r="H84" s="1">
        <v>675.18</v>
      </c>
      <c r="I84" s="1">
        <v>30</v>
      </c>
      <c r="J84" s="2">
        <f t="shared" si="7"/>
        <v>10082.450980392156</v>
      </c>
      <c r="K84" s="2">
        <f t="shared" si="8"/>
        <v>7808.3970588235297</v>
      </c>
      <c r="L84" s="2">
        <f t="shared" si="9"/>
        <v>44191.176470588231</v>
      </c>
      <c r="M84" s="2">
        <f t="shared" si="10"/>
        <v>8310.8627450980384</v>
      </c>
      <c r="N84" s="2">
        <f t="shared" si="11"/>
        <v>6619.411764705882</v>
      </c>
      <c r="O84" s="2">
        <f t="shared" si="12"/>
        <v>294.11764705882354</v>
      </c>
      <c r="P84" s="8">
        <v>5.1993271818531334E-2</v>
      </c>
      <c r="Q84" s="8">
        <v>1.1495963091118799</v>
      </c>
      <c r="R84" s="8">
        <v>8.5576720115189478E-2</v>
      </c>
      <c r="S84" s="8">
        <f>Tabelle1[[#This Row],[corr_x]]/1000</f>
        <v>10.082450980392155</v>
      </c>
      <c r="T84" s="8">
        <f>Tabelle1[[#This Row],[corr_y]]/1000</f>
        <v>7.8083970588235294</v>
      </c>
      <c r="U84" s="8">
        <f>Tabelle1[[#This Row],[corr_z]]/1000</f>
        <v>44.191176470588232</v>
      </c>
      <c r="V84" s="8">
        <f>Tabelle1[[#This Row],[corr_soma_x]]/1000</f>
        <v>8.3108627450980386</v>
      </c>
      <c r="W84" s="8">
        <f>Tabelle1[[#This Row],[corr_soma_y]]/1000</f>
        <v>6.6194117647058821</v>
      </c>
      <c r="X84" s="8">
        <f>Tabelle1[[#This Row],[corr_soma_z]]/1000</f>
        <v>0.29411764705882354</v>
      </c>
    </row>
    <row r="85" spans="1:24" x14ac:dyDescent="0.35">
      <c r="A85" s="7" t="s">
        <v>5</v>
      </c>
      <c r="B85" s="7" t="s">
        <v>18</v>
      </c>
      <c r="C85" s="6">
        <v>64</v>
      </c>
      <c r="D85" s="1">
        <v>945.53150000000005</v>
      </c>
      <c r="E85" s="1">
        <v>936.66650000000004</v>
      </c>
      <c r="F85" s="1">
        <v>4642.5</v>
      </c>
      <c r="G85" s="1">
        <v>847.70799999999997</v>
      </c>
      <c r="H85" s="1">
        <v>675.18</v>
      </c>
      <c r="I85" s="1">
        <v>30</v>
      </c>
      <c r="J85" s="2">
        <f t="shared" si="7"/>
        <v>9269.9166666666679</v>
      </c>
      <c r="K85" s="2">
        <f t="shared" si="8"/>
        <v>9183.004901960785</v>
      </c>
      <c r="L85" s="2">
        <f t="shared" si="9"/>
        <v>45514.705882352944</v>
      </c>
      <c r="M85" s="2">
        <f t="shared" si="10"/>
        <v>8310.8627450980384</v>
      </c>
      <c r="N85" s="2">
        <f t="shared" si="11"/>
        <v>6619.411764705882</v>
      </c>
      <c r="O85" s="2">
        <f t="shared" si="12"/>
        <v>294.11764705882354</v>
      </c>
      <c r="P85" s="8">
        <v>6.1343521722414453E-2</v>
      </c>
      <c r="Q85" s="8">
        <v>0.81241253364090737</v>
      </c>
      <c r="R85" s="8">
        <v>6.0956947177179213E-2</v>
      </c>
      <c r="S85" s="8">
        <f>Tabelle1[[#This Row],[corr_x]]/1000</f>
        <v>9.269916666666667</v>
      </c>
      <c r="T85" s="8">
        <f>Tabelle1[[#This Row],[corr_y]]/1000</f>
        <v>9.1830049019607856</v>
      </c>
      <c r="U85" s="8">
        <f>Tabelle1[[#This Row],[corr_z]]/1000</f>
        <v>45.514705882352942</v>
      </c>
      <c r="V85" s="8">
        <f>Tabelle1[[#This Row],[corr_soma_x]]/1000</f>
        <v>8.3108627450980386</v>
      </c>
      <c r="W85" s="8">
        <f>Tabelle1[[#This Row],[corr_soma_y]]/1000</f>
        <v>6.6194117647058821</v>
      </c>
      <c r="X85" s="8">
        <f>Tabelle1[[#This Row],[corr_soma_z]]/1000</f>
        <v>0.29411764705882354</v>
      </c>
    </row>
    <row r="86" spans="1:24" x14ac:dyDescent="0.35">
      <c r="A86" s="7" t="s">
        <v>5</v>
      </c>
      <c r="B86" s="7" t="s">
        <v>18</v>
      </c>
      <c r="C86" s="6">
        <v>65</v>
      </c>
      <c r="D86" s="1">
        <v>971.63499999999999</v>
      </c>
      <c r="E86" s="1">
        <v>950.33600000000001</v>
      </c>
      <c r="F86" s="1">
        <v>4670</v>
      </c>
      <c r="G86" s="1">
        <v>847.70799999999997</v>
      </c>
      <c r="H86" s="1">
        <v>675.18</v>
      </c>
      <c r="I86" s="1">
        <v>30</v>
      </c>
      <c r="J86" s="2">
        <f t="shared" si="7"/>
        <v>9525.8333333333321</v>
      </c>
      <c r="K86" s="2">
        <f t="shared" si="8"/>
        <v>9317.0196078431381</v>
      </c>
      <c r="L86" s="2">
        <f t="shared" si="9"/>
        <v>45784.313725490196</v>
      </c>
      <c r="M86" s="2">
        <f t="shared" si="10"/>
        <v>8310.8627450980384</v>
      </c>
      <c r="N86" s="2">
        <f t="shared" si="11"/>
        <v>6619.411764705882</v>
      </c>
      <c r="O86" s="2">
        <f t="shared" si="12"/>
        <v>294.11764705882354</v>
      </c>
      <c r="P86" s="8">
        <v>5.2099000384467513E-2</v>
      </c>
      <c r="Q86" s="8">
        <v>1.6400999615532486</v>
      </c>
      <c r="R86" s="8">
        <v>0.17247514153681465</v>
      </c>
      <c r="S86" s="8">
        <f>Tabelle1[[#This Row],[corr_x]]/1000</f>
        <v>9.5258333333333329</v>
      </c>
      <c r="T86" s="8">
        <f>Tabelle1[[#This Row],[corr_y]]/1000</f>
        <v>9.3170196078431378</v>
      </c>
      <c r="U86" s="8">
        <f>Tabelle1[[#This Row],[corr_z]]/1000</f>
        <v>45.784313725490193</v>
      </c>
      <c r="V86" s="8">
        <f>Tabelle1[[#This Row],[corr_soma_x]]/1000</f>
        <v>8.3108627450980386</v>
      </c>
      <c r="W86" s="8">
        <f>Tabelle1[[#This Row],[corr_soma_y]]/1000</f>
        <v>6.6194117647058821</v>
      </c>
      <c r="X86" s="8">
        <f>Tabelle1[[#This Row],[corr_soma_z]]/1000</f>
        <v>0.29411764705882354</v>
      </c>
    </row>
    <row r="87" spans="1:24" x14ac:dyDescent="0.35">
      <c r="A87" s="7" t="s">
        <v>5</v>
      </c>
      <c r="B87" s="7" t="s">
        <v>18</v>
      </c>
      <c r="C87" s="6">
        <v>66</v>
      </c>
      <c r="D87" s="1">
        <v>949.279</v>
      </c>
      <c r="E87" s="1">
        <v>920.26400000000001</v>
      </c>
      <c r="F87" s="1">
        <v>4670</v>
      </c>
      <c r="G87" s="1">
        <v>847.70799999999997</v>
      </c>
      <c r="H87" s="1">
        <v>675.18</v>
      </c>
      <c r="I87" s="1">
        <v>30</v>
      </c>
      <c r="J87" s="2">
        <f t="shared" si="7"/>
        <v>9306.6568627450979</v>
      </c>
      <c r="K87" s="2">
        <f t="shared" si="8"/>
        <v>9022.1960784313724</v>
      </c>
      <c r="L87" s="2">
        <f t="shared" si="9"/>
        <v>45784.313725490196</v>
      </c>
      <c r="M87" s="2">
        <f t="shared" si="10"/>
        <v>8310.8627450980384</v>
      </c>
      <c r="N87" s="2">
        <f t="shared" si="11"/>
        <v>6619.411764705882</v>
      </c>
      <c r="O87" s="2">
        <f t="shared" si="12"/>
        <v>294.11764705882354</v>
      </c>
      <c r="P87" s="8">
        <v>4.6845155709342563E-2</v>
      </c>
      <c r="Q87" s="8">
        <v>0.8267916186082277</v>
      </c>
      <c r="R87" s="8">
        <v>4.4613591303495639E-2</v>
      </c>
      <c r="S87" s="8">
        <f>Tabelle1[[#This Row],[corr_x]]/1000</f>
        <v>9.3066568627450987</v>
      </c>
      <c r="T87" s="8">
        <f>Tabelle1[[#This Row],[corr_y]]/1000</f>
        <v>9.0221960784313726</v>
      </c>
      <c r="U87" s="8">
        <f>Tabelle1[[#This Row],[corr_z]]/1000</f>
        <v>45.784313725490193</v>
      </c>
      <c r="V87" s="8">
        <f>Tabelle1[[#This Row],[corr_soma_x]]/1000</f>
        <v>8.3108627450980386</v>
      </c>
      <c r="W87" s="8">
        <f>Tabelle1[[#This Row],[corr_soma_y]]/1000</f>
        <v>6.6194117647058821</v>
      </c>
      <c r="X87" s="8">
        <f>Tabelle1[[#This Row],[corr_soma_z]]/1000</f>
        <v>0.29411764705882354</v>
      </c>
    </row>
    <row r="88" spans="1:24" x14ac:dyDescent="0.35">
      <c r="A88" s="7" t="s">
        <v>5</v>
      </c>
      <c r="B88" s="7" t="s">
        <v>18</v>
      </c>
      <c r="C88" s="6">
        <v>67</v>
      </c>
      <c r="D88" s="1">
        <v>1049.5899999999999</v>
      </c>
      <c r="E88" s="1">
        <v>913.13300000000004</v>
      </c>
      <c r="F88" s="1">
        <v>4730</v>
      </c>
      <c r="G88" s="1">
        <v>847.70799999999997</v>
      </c>
      <c r="H88" s="1">
        <v>675.18</v>
      </c>
      <c r="I88" s="1">
        <v>30</v>
      </c>
      <c r="J88" s="2">
        <f t="shared" si="7"/>
        <v>10290.098039215685</v>
      </c>
      <c r="K88" s="2">
        <f t="shared" si="8"/>
        <v>8952.2843137254913</v>
      </c>
      <c r="L88" s="2">
        <f t="shared" si="9"/>
        <v>46372.549019607846</v>
      </c>
      <c r="M88" s="2">
        <f t="shared" si="10"/>
        <v>8310.8627450980384</v>
      </c>
      <c r="N88" s="2">
        <f t="shared" si="11"/>
        <v>6619.411764705882</v>
      </c>
      <c r="O88" s="2">
        <f t="shared" si="12"/>
        <v>294.11764705882354</v>
      </c>
      <c r="P88" s="8">
        <v>0.1496789696270665</v>
      </c>
      <c r="Q88" s="8">
        <v>1.7870242214532872</v>
      </c>
      <c r="R88" s="8">
        <v>0.19352568016826108</v>
      </c>
      <c r="S88" s="8">
        <f>Tabelle1[[#This Row],[corr_x]]/1000</f>
        <v>10.290098039215685</v>
      </c>
      <c r="T88" s="8">
        <f>Tabelle1[[#This Row],[corr_y]]/1000</f>
        <v>8.9522843137254906</v>
      </c>
      <c r="U88" s="8">
        <f>Tabelle1[[#This Row],[corr_z]]/1000</f>
        <v>46.372549019607845</v>
      </c>
      <c r="V88" s="8">
        <f>Tabelle1[[#This Row],[corr_soma_x]]/1000</f>
        <v>8.3108627450980386</v>
      </c>
      <c r="W88" s="8">
        <f>Tabelle1[[#This Row],[corr_soma_y]]/1000</f>
        <v>6.6194117647058821</v>
      </c>
      <c r="X88" s="8">
        <f>Tabelle1[[#This Row],[corr_soma_z]]/1000</f>
        <v>0.29411764705882354</v>
      </c>
    </row>
    <row r="89" spans="1:24" x14ac:dyDescent="0.35">
      <c r="A89" s="7" t="s">
        <v>5</v>
      </c>
      <c r="B89" s="7" t="s">
        <v>18</v>
      </c>
      <c r="C89" s="6">
        <v>68</v>
      </c>
      <c r="D89" s="1">
        <v>1105.655</v>
      </c>
      <c r="E89" s="1">
        <v>940.47</v>
      </c>
      <c r="F89" s="1">
        <v>4787.5</v>
      </c>
      <c r="G89" s="1">
        <v>847.70799999999997</v>
      </c>
      <c r="H89" s="1">
        <v>675.18</v>
      </c>
      <c r="I89" s="1">
        <v>30</v>
      </c>
      <c r="J89" s="2">
        <f t="shared" si="7"/>
        <v>10839.754901960785</v>
      </c>
      <c r="K89" s="2">
        <f t="shared" si="8"/>
        <v>9220.2941176470595</v>
      </c>
      <c r="L89" s="2">
        <f t="shared" si="9"/>
        <v>46936.274509803923</v>
      </c>
      <c r="M89" s="2">
        <f t="shared" si="10"/>
        <v>8310.8627450980384</v>
      </c>
      <c r="N89" s="2">
        <f t="shared" si="11"/>
        <v>6619.411764705882</v>
      </c>
      <c r="O89" s="2">
        <f t="shared" si="12"/>
        <v>294.11764705882354</v>
      </c>
      <c r="P89" s="8">
        <v>5.7231737793156476E-2</v>
      </c>
      <c r="Q89" s="8">
        <v>1.3601595540176856</v>
      </c>
      <c r="R89" s="8">
        <v>0.10358478262508386</v>
      </c>
      <c r="S89" s="8">
        <f>Tabelle1[[#This Row],[corr_x]]/1000</f>
        <v>10.839754901960784</v>
      </c>
      <c r="T89" s="8">
        <f>Tabelle1[[#This Row],[corr_y]]/1000</f>
        <v>9.2202941176470592</v>
      </c>
      <c r="U89" s="8">
        <f>Tabelle1[[#This Row],[corr_z]]/1000</f>
        <v>46.936274509803923</v>
      </c>
      <c r="V89" s="8">
        <f>Tabelle1[[#This Row],[corr_soma_x]]/1000</f>
        <v>8.3108627450980386</v>
      </c>
      <c r="W89" s="8">
        <f>Tabelle1[[#This Row],[corr_soma_y]]/1000</f>
        <v>6.6194117647058821</v>
      </c>
      <c r="X89" s="8">
        <f>Tabelle1[[#This Row],[corr_soma_z]]/1000</f>
        <v>0.29411764705882354</v>
      </c>
    </row>
    <row r="90" spans="1:24" x14ac:dyDescent="0.35">
      <c r="A90" s="7" t="s">
        <v>5</v>
      </c>
      <c r="B90" s="7" t="s">
        <v>18</v>
      </c>
      <c r="C90" s="6">
        <v>69</v>
      </c>
      <c r="D90" s="1">
        <v>1076.1099999999999</v>
      </c>
      <c r="E90" s="1">
        <v>962.96900000000005</v>
      </c>
      <c r="F90" s="1">
        <v>4790</v>
      </c>
      <c r="G90" s="1">
        <v>847.70799999999997</v>
      </c>
      <c r="H90" s="1">
        <v>675.18</v>
      </c>
      <c r="I90" s="1">
        <v>30</v>
      </c>
      <c r="J90" s="2">
        <f t="shared" si="7"/>
        <v>10550.098039215685</v>
      </c>
      <c r="K90" s="2">
        <f t="shared" si="8"/>
        <v>9440.8725490196084</v>
      </c>
      <c r="L90" s="2">
        <f t="shared" si="9"/>
        <v>46960.784313725489</v>
      </c>
      <c r="M90" s="2">
        <f t="shared" si="10"/>
        <v>8310.8627450980384</v>
      </c>
      <c r="N90" s="2">
        <f t="shared" si="11"/>
        <v>6619.411764705882</v>
      </c>
      <c r="O90" s="2">
        <f t="shared" si="12"/>
        <v>294.11764705882354</v>
      </c>
      <c r="P90" s="8">
        <v>0.10415897731641677</v>
      </c>
      <c r="Q90" s="8">
        <v>1.7353421760861207</v>
      </c>
      <c r="R90" s="8">
        <v>0.16746575600636257</v>
      </c>
      <c r="S90" s="8">
        <f>Tabelle1[[#This Row],[corr_x]]/1000</f>
        <v>10.550098039215685</v>
      </c>
      <c r="T90" s="8">
        <f>Tabelle1[[#This Row],[corr_y]]/1000</f>
        <v>9.440872549019609</v>
      </c>
      <c r="U90" s="8">
        <f>Tabelle1[[#This Row],[corr_z]]/1000</f>
        <v>46.96078431372549</v>
      </c>
      <c r="V90" s="8">
        <f>Tabelle1[[#This Row],[corr_soma_x]]/1000</f>
        <v>8.3108627450980386</v>
      </c>
      <c r="W90" s="8">
        <f>Tabelle1[[#This Row],[corr_soma_y]]/1000</f>
        <v>6.6194117647058821</v>
      </c>
      <c r="X90" s="8">
        <f>Tabelle1[[#This Row],[corr_soma_z]]/1000</f>
        <v>0.29411764705882354</v>
      </c>
    </row>
    <row r="91" spans="1:24" x14ac:dyDescent="0.35">
      <c r="A91" s="7" t="s">
        <v>5</v>
      </c>
      <c r="B91" s="7" t="s">
        <v>18</v>
      </c>
      <c r="C91" s="6">
        <v>70</v>
      </c>
      <c r="D91" s="1">
        <v>1213.5250000000001</v>
      </c>
      <c r="E91" s="1">
        <v>960.99600000000009</v>
      </c>
      <c r="F91" s="1">
        <v>4912.5</v>
      </c>
      <c r="G91" s="1">
        <v>847.70799999999997</v>
      </c>
      <c r="H91" s="1">
        <v>675.18</v>
      </c>
      <c r="I91" s="1">
        <v>30</v>
      </c>
      <c r="J91" s="2">
        <f t="shared" si="7"/>
        <v>11897.303921568628</v>
      </c>
      <c r="K91" s="2">
        <f t="shared" si="8"/>
        <v>9421.5294117647081</v>
      </c>
      <c r="L91" s="2">
        <f t="shared" si="9"/>
        <v>48161.764705882357</v>
      </c>
      <c r="M91" s="2">
        <f t="shared" si="10"/>
        <v>8310.8627450980384</v>
      </c>
      <c r="N91" s="2">
        <f t="shared" si="11"/>
        <v>6619.411764705882</v>
      </c>
      <c r="O91" s="2">
        <f t="shared" si="12"/>
        <v>294.11764705882354</v>
      </c>
      <c r="P91" s="8">
        <v>0.20452518262206845</v>
      </c>
      <c r="Q91" s="8">
        <v>4.9280661284121487</v>
      </c>
      <c r="R91" s="8">
        <v>0.54193994014368529</v>
      </c>
      <c r="S91" s="8">
        <f>Tabelle1[[#This Row],[corr_x]]/1000</f>
        <v>11.897303921568628</v>
      </c>
      <c r="T91" s="8">
        <f>Tabelle1[[#This Row],[corr_y]]/1000</f>
        <v>9.4215294117647073</v>
      </c>
      <c r="U91" s="8">
        <f>Tabelle1[[#This Row],[corr_z]]/1000</f>
        <v>48.161764705882355</v>
      </c>
      <c r="V91" s="8">
        <f>Tabelle1[[#This Row],[corr_soma_x]]/1000</f>
        <v>8.3108627450980386</v>
      </c>
      <c r="W91" s="8">
        <f>Tabelle1[[#This Row],[corr_soma_y]]/1000</f>
        <v>6.6194117647058821</v>
      </c>
      <c r="X91" s="8">
        <f>Tabelle1[[#This Row],[corr_soma_z]]/1000</f>
        <v>0.29411764705882354</v>
      </c>
    </row>
    <row r="92" spans="1:24" x14ac:dyDescent="0.35">
      <c r="A92" s="7" t="s">
        <v>5</v>
      </c>
      <c r="B92" s="7" t="s">
        <v>18</v>
      </c>
      <c r="C92" s="6">
        <v>71</v>
      </c>
      <c r="D92" s="1">
        <v>1142.52</v>
      </c>
      <c r="E92" s="1">
        <v>956.35900000000004</v>
      </c>
      <c r="F92" s="1">
        <v>4865</v>
      </c>
      <c r="G92" s="1">
        <v>847.70799999999997</v>
      </c>
      <c r="H92" s="1">
        <v>675.18</v>
      </c>
      <c r="I92" s="1">
        <v>30</v>
      </c>
      <c r="J92" s="2">
        <f t="shared" si="7"/>
        <v>11201.176470588236</v>
      </c>
      <c r="K92" s="2">
        <f t="shared" si="8"/>
        <v>9376.0686274509808</v>
      </c>
      <c r="L92" s="2">
        <f t="shared" si="9"/>
        <v>47696.078431372545</v>
      </c>
      <c r="M92" s="2">
        <f t="shared" si="10"/>
        <v>8310.8627450980384</v>
      </c>
      <c r="N92" s="2">
        <f t="shared" si="11"/>
        <v>6619.411764705882</v>
      </c>
      <c r="O92" s="2">
        <f t="shared" si="12"/>
        <v>294.11764705882354</v>
      </c>
      <c r="P92" s="8">
        <v>3.6127450980392155E-2</v>
      </c>
      <c r="Q92" s="8">
        <v>2.7181949250288349</v>
      </c>
      <c r="R92" s="8">
        <v>0.28853815651597048</v>
      </c>
      <c r="S92" s="8">
        <f>Tabelle1[[#This Row],[corr_x]]/1000</f>
        <v>11.201176470588235</v>
      </c>
      <c r="T92" s="8">
        <f>Tabelle1[[#This Row],[corr_y]]/1000</f>
        <v>9.3760686274509801</v>
      </c>
      <c r="U92" s="8">
        <f>Tabelle1[[#This Row],[corr_z]]/1000</f>
        <v>47.696078431372548</v>
      </c>
      <c r="V92" s="8">
        <f>Tabelle1[[#This Row],[corr_soma_x]]/1000</f>
        <v>8.3108627450980386</v>
      </c>
      <c r="W92" s="8">
        <f>Tabelle1[[#This Row],[corr_soma_y]]/1000</f>
        <v>6.6194117647058821</v>
      </c>
      <c r="X92" s="8">
        <f>Tabelle1[[#This Row],[corr_soma_z]]/1000</f>
        <v>0.29411764705882354</v>
      </c>
    </row>
    <row r="93" spans="1:24" x14ac:dyDescent="0.35">
      <c r="A93" s="7" t="s">
        <v>5</v>
      </c>
      <c r="B93" s="7" t="s">
        <v>18</v>
      </c>
      <c r="C93" s="6">
        <v>72</v>
      </c>
      <c r="D93" s="1">
        <v>1237.73</v>
      </c>
      <c r="E93" s="1">
        <v>1013.57</v>
      </c>
      <c r="F93" s="1">
        <v>4920</v>
      </c>
      <c r="G93" s="1">
        <v>847.70799999999997</v>
      </c>
      <c r="H93" s="1">
        <v>675.18</v>
      </c>
      <c r="I93" s="1">
        <v>30</v>
      </c>
      <c r="J93" s="2">
        <f t="shared" si="7"/>
        <v>12134.607843137255</v>
      </c>
      <c r="K93" s="2">
        <f t="shared" si="8"/>
        <v>9936.9607843137255</v>
      </c>
      <c r="L93" s="2">
        <f t="shared" si="9"/>
        <v>48235.294117647056</v>
      </c>
      <c r="M93" s="2">
        <f t="shared" si="10"/>
        <v>8310.8627450980384</v>
      </c>
      <c r="N93" s="2">
        <f t="shared" si="11"/>
        <v>6619.411764705882</v>
      </c>
      <c r="O93" s="2">
        <f t="shared" si="12"/>
        <v>294.11764705882354</v>
      </c>
      <c r="P93" s="8">
        <v>6.1293156478277579E-2</v>
      </c>
      <c r="Q93" s="8">
        <v>1.8033640907343331</v>
      </c>
      <c r="R93" s="8">
        <v>0.13030715938816895</v>
      </c>
      <c r="S93" s="8">
        <f>Tabelle1[[#This Row],[corr_x]]/1000</f>
        <v>12.134607843137255</v>
      </c>
      <c r="T93" s="8">
        <f>Tabelle1[[#This Row],[corr_y]]/1000</f>
        <v>9.936960784313726</v>
      </c>
      <c r="U93" s="8">
        <f>Tabelle1[[#This Row],[corr_z]]/1000</f>
        <v>48.235294117647058</v>
      </c>
      <c r="V93" s="8">
        <f>Tabelle1[[#This Row],[corr_soma_x]]/1000</f>
        <v>8.3108627450980386</v>
      </c>
      <c r="W93" s="8">
        <f>Tabelle1[[#This Row],[corr_soma_y]]/1000</f>
        <v>6.6194117647058821</v>
      </c>
      <c r="X93" s="8">
        <f>Tabelle1[[#This Row],[corr_soma_z]]/1000</f>
        <v>0.29411764705882354</v>
      </c>
    </row>
    <row r="94" spans="1:24" x14ac:dyDescent="0.35">
      <c r="A94" s="7" t="s">
        <v>5</v>
      </c>
      <c r="B94" s="7" t="s">
        <v>18</v>
      </c>
      <c r="C94" s="6">
        <v>73</v>
      </c>
      <c r="D94" s="1">
        <v>1219.1799999999998</v>
      </c>
      <c r="E94" s="1">
        <v>989.3125</v>
      </c>
      <c r="F94" s="1">
        <v>4892.5</v>
      </c>
      <c r="G94" s="1">
        <v>847.70799999999997</v>
      </c>
      <c r="H94" s="1">
        <v>675.18</v>
      </c>
      <c r="I94" s="1">
        <v>30</v>
      </c>
      <c r="J94" s="2">
        <f t="shared" si="7"/>
        <v>11952.745098039215</v>
      </c>
      <c r="K94" s="2">
        <f t="shared" si="8"/>
        <v>9699.1421568627447</v>
      </c>
      <c r="L94" s="2">
        <f t="shared" si="9"/>
        <v>47965.686274509804</v>
      </c>
      <c r="M94" s="2">
        <f t="shared" si="10"/>
        <v>8310.8627450980384</v>
      </c>
      <c r="N94" s="2">
        <f t="shared" si="11"/>
        <v>6619.411764705882</v>
      </c>
      <c r="O94" s="2">
        <f t="shared" si="12"/>
        <v>294.11764705882354</v>
      </c>
      <c r="P94" s="8">
        <v>1.3384467512495194E-2</v>
      </c>
      <c r="Q94" s="8">
        <v>0.73194828911956933</v>
      </c>
      <c r="R94" s="8">
        <v>4.3622739368719424E-2</v>
      </c>
      <c r="S94" s="8">
        <f>Tabelle1[[#This Row],[corr_x]]/1000</f>
        <v>11.952745098039214</v>
      </c>
      <c r="T94" s="8">
        <f>Tabelle1[[#This Row],[corr_y]]/1000</f>
        <v>9.6991421568627452</v>
      </c>
      <c r="U94" s="8">
        <f>Tabelle1[[#This Row],[corr_z]]/1000</f>
        <v>47.965686274509807</v>
      </c>
      <c r="V94" s="8">
        <f>Tabelle1[[#This Row],[corr_soma_x]]/1000</f>
        <v>8.3108627450980386</v>
      </c>
      <c r="W94" s="8">
        <f>Tabelle1[[#This Row],[corr_soma_y]]/1000</f>
        <v>6.6194117647058821</v>
      </c>
      <c r="X94" s="8">
        <f>Tabelle1[[#This Row],[corr_soma_z]]/1000</f>
        <v>0.29411764705882354</v>
      </c>
    </row>
    <row r="95" spans="1:24" x14ac:dyDescent="0.35">
      <c r="A95" s="7" t="s">
        <v>5</v>
      </c>
      <c r="B95" s="7" t="s">
        <v>19</v>
      </c>
      <c r="C95" s="6">
        <v>24</v>
      </c>
      <c r="D95" s="1">
        <v>1254.79</v>
      </c>
      <c r="E95" s="1">
        <v>1030.3499999999999</v>
      </c>
      <c r="F95" s="1">
        <v>4970</v>
      </c>
      <c r="G95" s="1">
        <v>847.70799999999997</v>
      </c>
      <c r="H95" s="1">
        <v>675.18</v>
      </c>
      <c r="I95" s="1">
        <v>30</v>
      </c>
      <c r="J95" s="2">
        <f t="shared" si="7"/>
        <v>12301.862745098038</v>
      </c>
      <c r="K95" s="2">
        <f t="shared" si="8"/>
        <v>10101.470588235292</v>
      </c>
      <c r="L95" s="2">
        <f t="shared" si="9"/>
        <v>48725.490196078434</v>
      </c>
      <c r="M95" s="2">
        <f t="shared" si="10"/>
        <v>8310.8627450980384</v>
      </c>
      <c r="N95" s="2">
        <f t="shared" si="11"/>
        <v>6619.411764705882</v>
      </c>
      <c r="O95" s="2">
        <f t="shared" si="12"/>
        <v>294.11764705882354</v>
      </c>
      <c r="P95" s="8">
        <v>0.10070549788542868</v>
      </c>
      <c r="Q95" s="8">
        <v>2.4699442522106883</v>
      </c>
      <c r="R95" s="8">
        <v>0.22537711739828573</v>
      </c>
      <c r="S95" s="8">
        <f>Tabelle1[[#This Row],[corr_x]]/1000</f>
        <v>12.301862745098038</v>
      </c>
      <c r="T95" s="8">
        <f>Tabelle1[[#This Row],[corr_y]]/1000</f>
        <v>10.101470588235292</v>
      </c>
      <c r="U95" s="8">
        <f>Tabelle1[[#This Row],[corr_z]]/1000</f>
        <v>48.725490196078432</v>
      </c>
      <c r="V95" s="8">
        <f>Tabelle1[[#This Row],[corr_soma_x]]/1000</f>
        <v>8.3108627450980386</v>
      </c>
      <c r="W95" s="8">
        <f>Tabelle1[[#This Row],[corr_soma_y]]/1000</f>
        <v>6.6194117647058821</v>
      </c>
      <c r="X95" s="8">
        <f>Tabelle1[[#This Row],[corr_soma_z]]/1000</f>
        <v>0.29411764705882354</v>
      </c>
    </row>
    <row r="96" spans="1:24" x14ac:dyDescent="0.35">
      <c r="A96" s="7" t="s">
        <v>5</v>
      </c>
      <c r="B96" s="7" t="s">
        <v>18</v>
      </c>
      <c r="C96" s="6">
        <v>74</v>
      </c>
      <c r="D96" s="1">
        <v>1225.71</v>
      </c>
      <c r="E96" s="1">
        <v>1041.28</v>
      </c>
      <c r="F96" s="1">
        <v>4960</v>
      </c>
      <c r="G96" s="1">
        <v>847.70799999999997</v>
      </c>
      <c r="H96" s="1">
        <v>675.18</v>
      </c>
      <c r="I96" s="1">
        <v>30</v>
      </c>
      <c r="J96" s="2">
        <f t="shared" si="7"/>
        <v>12016.764705882353</v>
      </c>
      <c r="K96" s="2">
        <f t="shared" si="8"/>
        <v>10208.627450980392</v>
      </c>
      <c r="L96" s="2">
        <f t="shared" si="9"/>
        <v>48627.450980392154</v>
      </c>
      <c r="M96" s="2">
        <f t="shared" si="10"/>
        <v>8310.8627450980384</v>
      </c>
      <c r="N96" s="2">
        <f t="shared" si="11"/>
        <v>6619.411764705882</v>
      </c>
      <c r="O96" s="2">
        <f t="shared" si="12"/>
        <v>294.11764705882354</v>
      </c>
      <c r="P96" s="8">
        <v>0.15847654748173778</v>
      </c>
      <c r="Q96" s="8">
        <v>2.7359765474817377</v>
      </c>
      <c r="R96" s="8">
        <v>0.20919650059177844</v>
      </c>
      <c r="S96" s="8">
        <f>Tabelle1[[#This Row],[corr_x]]/1000</f>
        <v>12.016764705882354</v>
      </c>
      <c r="T96" s="8">
        <f>Tabelle1[[#This Row],[corr_y]]/1000</f>
        <v>10.208627450980391</v>
      </c>
      <c r="U96" s="8">
        <f>Tabelle1[[#This Row],[corr_z]]/1000</f>
        <v>48.627450980392155</v>
      </c>
      <c r="V96" s="8">
        <f>Tabelle1[[#This Row],[corr_soma_x]]/1000</f>
        <v>8.3108627450980386</v>
      </c>
      <c r="W96" s="8">
        <f>Tabelle1[[#This Row],[corr_soma_y]]/1000</f>
        <v>6.6194117647058821</v>
      </c>
      <c r="X96" s="8">
        <f>Tabelle1[[#This Row],[corr_soma_z]]/1000</f>
        <v>0.29411764705882354</v>
      </c>
    </row>
    <row r="97" spans="1:24" x14ac:dyDescent="0.35">
      <c r="A97" s="7" t="s">
        <v>5</v>
      </c>
      <c r="B97" s="7" t="s">
        <v>18</v>
      </c>
      <c r="C97" s="6">
        <v>75</v>
      </c>
      <c r="D97" s="1">
        <v>1292.95</v>
      </c>
      <c r="E97" s="1">
        <v>1007.5150000000001</v>
      </c>
      <c r="F97" s="1">
        <v>5072.5</v>
      </c>
      <c r="G97" s="1">
        <v>847.70799999999997</v>
      </c>
      <c r="H97" s="1">
        <v>675.18</v>
      </c>
      <c r="I97" s="1">
        <v>30</v>
      </c>
      <c r="J97" s="2">
        <f t="shared" si="7"/>
        <v>12675.980392156862</v>
      </c>
      <c r="K97" s="2">
        <f t="shared" si="8"/>
        <v>9877.5980392156871</v>
      </c>
      <c r="L97" s="2">
        <f t="shared" si="9"/>
        <v>49730.392156862741</v>
      </c>
      <c r="M97" s="2">
        <f t="shared" si="10"/>
        <v>8310.8627450980384</v>
      </c>
      <c r="N97" s="2">
        <f t="shared" si="11"/>
        <v>6619.411764705882</v>
      </c>
      <c r="O97" s="2">
        <f t="shared" si="12"/>
        <v>294.11764705882354</v>
      </c>
      <c r="P97" s="8">
        <v>6.5524221453287207E-2</v>
      </c>
      <c r="Q97" s="8">
        <v>1.3613802383698577</v>
      </c>
      <c r="R97" s="8">
        <v>9.7843212640688723E-2</v>
      </c>
      <c r="S97" s="8">
        <f>Tabelle1[[#This Row],[corr_x]]/1000</f>
        <v>12.675980392156863</v>
      </c>
      <c r="T97" s="8">
        <f>Tabelle1[[#This Row],[corr_y]]/1000</f>
        <v>9.8775980392156875</v>
      </c>
      <c r="U97" s="8">
        <f>Tabelle1[[#This Row],[corr_z]]/1000</f>
        <v>49.730392156862742</v>
      </c>
      <c r="V97" s="8">
        <f>Tabelle1[[#This Row],[corr_soma_x]]/1000</f>
        <v>8.3108627450980386</v>
      </c>
      <c r="W97" s="8">
        <f>Tabelle1[[#This Row],[corr_soma_y]]/1000</f>
        <v>6.6194117647058821</v>
      </c>
      <c r="X97" s="8">
        <f>Tabelle1[[#This Row],[corr_soma_z]]/1000</f>
        <v>0.29411764705882354</v>
      </c>
    </row>
    <row r="98" spans="1:24" x14ac:dyDescent="0.35">
      <c r="A98" s="7" t="s">
        <v>5</v>
      </c>
      <c r="B98" s="7" t="s">
        <v>19</v>
      </c>
      <c r="C98" s="6">
        <v>25</v>
      </c>
      <c r="D98" s="1">
        <v>1251.94</v>
      </c>
      <c r="E98" s="1">
        <v>1292.6950000000002</v>
      </c>
      <c r="F98" s="1">
        <v>5142.5</v>
      </c>
      <c r="G98" s="1">
        <v>847.70799999999997</v>
      </c>
      <c r="H98" s="1">
        <v>675.18</v>
      </c>
      <c r="I98" s="1">
        <v>30</v>
      </c>
      <c r="J98" s="2">
        <f t="shared" si="7"/>
        <v>12273.921568627453</v>
      </c>
      <c r="K98" s="2">
        <f t="shared" si="8"/>
        <v>12673.480392156865</v>
      </c>
      <c r="L98" s="2">
        <f t="shared" si="9"/>
        <v>50416.666666666664</v>
      </c>
      <c r="M98" s="2">
        <f t="shared" si="10"/>
        <v>8310.8627450980384</v>
      </c>
      <c r="N98" s="2">
        <f t="shared" si="11"/>
        <v>6619.411764705882</v>
      </c>
      <c r="O98" s="2">
        <f t="shared" si="12"/>
        <v>294.11764705882354</v>
      </c>
      <c r="P98" s="8">
        <v>1.8516243752402923E-2</v>
      </c>
      <c r="Q98" s="8">
        <v>0.550076893502499</v>
      </c>
      <c r="R98" s="8">
        <v>3.4574466080165241E-2</v>
      </c>
      <c r="S98" s="8">
        <f>Tabelle1[[#This Row],[corr_x]]/1000</f>
        <v>12.273921568627452</v>
      </c>
      <c r="T98" s="8">
        <f>Tabelle1[[#This Row],[corr_y]]/1000</f>
        <v>12.673480392156865</v>
      </c>
      <c r="U98" s="8">
        <f>Tabelle1[[#This Row],[corr_z]]/1000</f>
        <v>50.416666666666664</v>
      </c>
      <c r="V98" s="8">
        <f>Tabelle1[[#This Row],[corr_soma_x]]/1000</f>
        <v>8.3108627450980386</v>
      </c>
      <c r="W98" s="8">
        <f>Tabelle1[[#This Row],[corr_soma_y]]/1000</f>
        <v>6.6194117647058821</v>
      </c>
      <c r="X98" s="8">
        <f>Tabelle1[[#This Row],[corr_soma_z]]/1000</f>
        <v>0.29411764705882354</v>
      </c>
    </row>
    <row r="99" spans="1:24" x14ac:dyDescent="0.35">
      <c r="A99" s="7" t="s">
        <v>5</v>
      </c>
      <c r="B99" s="7" t="s">
        <v>18</v>
      </c>
      <c r="C99" s="6">
        <v>76</v>
      </c>
      <c r="D99" s="1">
        <v>1253.74</v>
      </c>
      <c r="E99" s="1">
        <v>1295.97</v>
      </c>
      <c r="F99" s="1">
        <v>5210</v>
      </c>
      <c r="G99" s="1">
        <v>847.70799999999997</v>
      </c>
      <c r="H99" s="1">
        <v>675.18</v>
      </c>
      <c r="I99" s="1">
        <v>30</v>
      </c>
      <c r="J99" s="2">
        <f t="shared" si="7"/>
        <v>12291.568627450981</v>
      </c>
      <c r="K99" s="2">
        <f t="shared" si="8"/>
        <v>12705.588235294117</v>
      </c>
      <c r="L99" s="2">
        <f t="shared" si="9"/>
        <v>51078.431372549021</v>
      </c>
      <c r="M99" s="2">
        <f t="shared" si="10"/>
        <v>8310.8627450980384</v>
      </c>
      <c r="N99" s="2">
        <f t="shared" si="11"/>
        <v>6619.411764705882</v>
      </c>
      <c r="O99" s="2">
        <f t="shared" si="12"/>
        <v>294.11764705882354</v>
      </c>
      <c r="P99" s="8">
        <v>0.1193242983467897</v>
      </c>
      <c r="Q99" s="8">
        <v>2.527681660899654</v>
      </c>
      <c r="R99" s="8">
        <v>0.341489133138838</v>
      </c>
      <c r="S99" s="8">
        <f>Tabelle1[[#This Row],[corr_x]]/1000</f>
        <v>12.291568627450982</v>
      </c>
      <c r="T99" s="8">
        <f>Tabelle1[[#This Row],[corr_y]]/1000</f>
        <v>12.705588235294117</v>
      </c>
      <c r="U99" s="8">
        <f>Tabelle1[[#This Row],[corr_z]]/1000</f>
        <v>51.078431372549019</v>
      </c>
      <c r="V99" s="8">
        <f>Tabelle1[[#This Row],[corr_soma_x]]/1000</f>
        <v>8.3108627450980386</v>
      </c>
      <c r="W99" s="8">
        <f>Tabelle1[[#This Row],[corr_soma_y]]/1000</f>
        <v>6.6194117647058821</v>
      </c>
      <c r="X99" s="8">
        <f>Tabelle1[[#This Row],[corr_soma_z]]/1000</f>
        <v>0.29411764705882354</v>
      </c>
    </row>
    <row r="100" spans="1:24" x14ac:dyDescent="0.35">
      <c r="A100" s="7" t="s">
        <v>5</v>
      </c>
      <c r="B100" s="7" t="s">
        <v>18</v>
      </c>
      <c r="C100" s="6">
        <v>77</v>
      </c>
      <c r="D100" s="1">
        <v>1276.72</v>
      </c>
      <c r="E100" s="1">
        <v>1263.865</v>
      </c>
      <c r="F100" s="1">
        <v>5277.5</v>
      </c>
      <c r="G100" s="1">
        <v>847.70799999999997</v>
      </c>
      <c r="H100" s="1">
        <v>675.18</v>
      </c>
      <c r="I100" s="1">
        <v>30</v>
      </c>
      <c r="J100" s="2">
        <f t="shared" si="7"/>
        <v>12516.86274509804</v>
      </c>
      <c r="K100" s="2">
        <f t="shared" si="8"/>
        <v>12390.833333333334</v>
      </c>
      <c r="L100" s="2">
        <f t="shared" si="9"/>
        <v>51740.196078431378</v>
      </c>
      <c r="M100" s="2">
        <f t="shared" si="10"/>
        <v>8310.8627450980384</v>
      </c>
      <c r="N100" s="2">
        <f t="shared" si="11"/>
        <v>6619.411764705882</v>
      </c>
      <c r="O100" s="2">
        <f t="shared" si="12"/>
        <v>294.11764705882354</v>
      </c>
      <c r="P100" s="8">
        <v>7.2550173010380622E-2</v>
      </c>
      <c r="Q100" s="8">
        <v>3.8892156862745098</v>
      </c>
      <c r="R100" s="8">
        <v>0.39174224091789733</v>
      </c>
      <c r="S100" s="8">
        <f>Tabelle1[[#This Row],[corr_x]]/1000</f>
        <v>12.51686274509804</v>
      </c>
      <c r="T100" s="8">
        <f>Tabelle1[[#This Row],[corr_y]]/1000</f>
        <v>12.390833333333333</v>
      </c>
      <c r="U100" s="8">
        <f>Tabelle1[[#This Row],[corr_z]]/1000</f>
        <v>51.740196078431374</v>
      </c>
      <c r="V100" s="8">
        <f>Tabelle1[[#This Row],[corr_soma_x]]/1000</f>
        <v>8.3108627450980386</v>
      </c>
      <c r="W100" s="8">
        <f>Tabelle1[[#This Row],[corr_soma_y]]/1000</f>
        <v>6.6194117647058821</v>
      </c>
      <c r="X100" s="8">
        <f>Tabelle1[[#This Row],[corr_soma_z]]/1000</f>
        <v>0.29411764705882354</v>
      </c>
    </row>
    <row r="101" spans="1:24" x14ac:dyDescent="0.35">
      <c r="A101" s="7" t="s">
        <v>5</v>
      </c>
      <c r="B101" s="7" t="s">
        <v>18</v>
      </c>
      <c r="C101" s="6">
        <v>78</v>
      </c>
      <c r="D101" s="1">
        <v>1327.96</v>
      </c>
      <c r="E101" s="1">
        <v>853.86300000000006</v>
      </c>
      <c r="F101" s="1">
        <v>5410</v>
      </c>
      <c r="G101" s="1">
        <v>847.70799999999997</v>
      </c>
      <c r="H101" s="1">
        <v>675.18</v>
      </c>
      <c r="I101" s="1">
        <v>30</v>
      </c>
      <c r="J101" s="2">
        <f t="shared" si="7"/>
        <v>13019.215686274511</v>
      </c>
      <c r="K101" s="2">
        <f t="shared" si="8"/>
        <v>8371.2058823529424</v>
      </c>
      <c r="L101" s="2">
        <f t="shared" si="9"/>
        <v>53039.215686274511</v>
      </c>
      <c r="M101" s="2">
        <f t="shared" si="10"/>
        <v>8310.8627450980384</v>
      </c>
      <c r="N101" s="2">
        <f t="shared" si="11"/>
        <v>6619.411764705882</v>
      </c>
      <c r="O101" s="2">
        <f t="shared" si="12"/>
        <v>294.11764705882354</v>
      </c>
      <c r="P101" s="8">
        <v>0.11495578623606305</v>
      </c>
      <c r="Q101" s="8">
        <v>1.4224721261053441</v>
      </c>
      <c r="R101" s="8">
        <v>0.14016479332986559</v>
      </c>
      <c r="S101" s="8">
        <f>Tabelle1[[#This Row],[corr_x]]/1000</f>
        <v>13.01921568627451</v>
      </c>
      <c r="T101" s="8">
        <f>Tabelle1[[#This Row],[corr_y]]/1000</f>
        <v>8.3712058823529425</v>
      </c>
      <c r="U101" s="8">
        <f>Tabelle1[[#This Row],[corr_z]]/1000</f>
        <v>53.03921568627451</v>
      </c>
      <c r="V101" s="8">
        <f>Tabelle1[[#This Row],[corr_soma_x]]/1000</f>
        <v>8.3108627450980386</v>
      </c>
      <c r="W101" s="8">
        <f>Tabelle1[[#This Row],[corr_soma_y]]/1000</f>
        <v>6.6194117647058821</v>
      </c>
      <c r="X101" s="8">
        <f>Tabelle1[[#This Row],[corr_soma_z]]/1000</f>
        <v>0.29411764705882354</v>
      </c>
    </row>
    <row r="102" spans="1:24" x14ac:dyDescent="0.35">
      <c r="A102" s="7" t="s">
        <v>5</v>
      </c>
      <c r="B102" s="7" t="s">
        <v>18</v>
      </c>
      <c r="C102" s="6">
        <v>79</v>
      </c>
      <c r="D102" s="1">
        <v>1317.0450000000001</v>
      </c>
      <c r="E102" s="1">
        <v>891.64200000000005</v>
      </c>
      <c r="F102" s="1">
        <v>5467.5</v>
      </c>
      <c r="G102" s="1">
        <v>847.70799999999997</v>
      </c>
      <c r="H102" s="1">
        <v>675.18</v>
      </c>
      <c r="I102" s="1">
        <v>30</v>
      </c>
      <c r="J102" s="2">
        <f t="shared" si="7"/>
        <v>12912.205882352941</v>
      </c>
      <c r="K102" s="2">
        <f t="shared" si="8"/>
        <v>8741.5882352941189</v>
      </c>
      <c r="L102" s="2">
        <f t="shared" si="9"/>
        <v>53602.941176470587</v>
      </c>
      <c r="M102" s="2">
        <f t="shared" si="10"/>
        <v>8310.8627450980384</v>
      </c>
      <c r="N102" s="2">
        <f t="shared" si="11"/>
        <v>6619.411764705882</v>
      </c>
      <c r="O102" s="2">
        <f t="shared" si="12"/>
        <v>294.11764705882354</v>
      </c>
      <c r="P102" s="8">
        <v>3.6740965013456361E-2</v>
      </c>
      <c r="Q102" s="8">
        <v>2.3928681276432142</v>
      </c>
      <c r="R102" s="8">
        <v>0.16361919623674154</v>
      </c>
      <c r="S102" s="8">
        <f>Tabelle1[[#This Row],[corr_x]]/1000</f>
        <v>12.912205882352941</v>
      </c>
      <c r="T102" s="8">
        <f>Tabelle1[[#This Row],[corr_y]]/1000</f>
        <v>8.7415882352941185</v>
      </c>
      <c r="U102" s="8">
        <f>Tabelle1[[#This Row],[corr_z]]/1000</f>
        <v>53.602941176470587</v>
      </c>
      <c r="V102" s="8">
        <f>Tabelle1[[#This Row],[corr_soma_x]]/1000</f>
        <v>8.3108627450980386</v>
      </c>
      <c r="W102" s="8">
        <f>Tabelle1[[#This Row],[corr_soma_y]]/1000</f>
        <v>6.6194117647058821</v>
      </c>
      <c r="X102" s="8">
        <f>Tabelle1[[#This Row],[corr_soma_z]]/1000</f>
        <v>0.29411764705882354</v>
      </c>
    </row>
    <row r="103" spans="1:24" x14ac:dyDescent="0.35">
      <c r="A103" s="7" t="s">
        <v>5</v>
      </c>
      <c r="B103" s="7" t="s">
        <v>18</v>
      </c>
      <c r="C103" s="6">
        <v>80</v>
      </c>
      <c r="D103" s="1">
        <v>1342.34</v>
      </c>
      <c r="E103" s="1">
        <v>890.44200000000001</v>
      </c>
      <c r="F103" s="1">
        <v>5560</v>
      </c>
      <c r="G103" s="1">
        <v>847.70799999999997</v>
      </c>
      <c r="H103" s="1">
        <v>675.18</v>
      </c>
      <c r="I103" s="1">
        <v>30</v>
      </c>
      <c r="J103" s="2">
        <f t="shared" si="7"/>
        <v>13160.196078431372</v>
      </c>
      <c r="K103" s="2">
        <f t="shared" si="8"/>
        <v>8729.8235294117658</v>
      </c>
      <c r="L103" s="2">
        <f t="shared" si="9"/>
        <v>54509.803921568622</v>
      </c>
      <c r="M103" s="2">
        <f t="shared" si="10"/>
        <v>8310.8627450980384</v>
      </c>
      <c r="N103" s="2">
        <f t="shared" si="11"/>
        <v>6619.411764705882</v>
      </c>
      <c r="O103" s="2">
        <f t="shared" si="12"/>
        <v>294.11764705882354</v>
      </c>
      <c r="P103" s="8">
        <v>8.2637062668204531E-2</v>
      </c>
      <c r="Q103" s="8">
        <v>1.9117070357554788</v>
      </c>
      <c r="R103" s="8">
        <v>0.14039189301249141</v>
      </c>
      <c r="S103" s="8">
        <f>Tabelle1[[#This Row],[corr_x]]/1000</f>
        <v>13.160196078431373</v>
      </c>
      <c r="T103" s="8">
        <f>Tabelle1[[#This Row],[corr_y]]/1000</f>
        <v>8.7298235294117656</v>
      </c>
      <c r="U103" s="8">
        <f>Tabelle1[[#This Row],[corr_z]]/1000</f>
        <v>54.509803921568626</v>
      </c>
      <c r="V103" s="8">
        <f>Tabelle1[[#This Row],[corr_soma_x]]/1000</f>
        <v>8.3108627450980386</v>
      </c>
      <c r="W103" s="8">
        <f>Tabelle1[[#This Row],[corr_soma_y]]/1000</f>
        <v>6.6194117647058821</v>
      </c>
      <c r="X103" s="8">
        <f>Tabelle1[[#This Row],[corr_soma_z]]/1000</f>
        <v>0.29411764705882354</v>
      </c>
    </row>
    <row r="104" spans="1:24" x14ac:dyDescent="0.35">
      <c r="A104" s="7" t="s">
        <v>5</v>
      </c>
      <c r="B104" s="7" t="s">
        <v>18</v>
      </c>
      <c r="C104" s="6">
        <v>81</v>
      </c>
      <c r="D104" s="1">
        <v>1403.7950000000001</v>
      </c>
      <c r="E104" s="1">
        <v>816.58050000000003</v>
      </c>
      <c r="F104" s="1">
        <v>5587.5</v>
      </c>
      <c r="G104" s="1">
        <v>847.70799999999997</v>
      </c>
      <c r="H104" s="1">
        <v>675.18</v>
      </c>
      <c r="I104" s="1">
        <v>30</v>
      </c>
      <c r="J104" s="2">
        <f t="shared" si="7"/>
        <v>13762.696078431374</v>
      </c>
      <c r="K104" s="2">
        <f t="shared" si="8"/>
        <v>8005.6911764705883</v>
      </c>
      <c r="L104" s="2">
        <f t="shared" si="9"/>
        <v>54779.411764705881</v>
      </c>
      <c r="M104" s="2">
        <f t="shared" si="10"/>
        <v>8310.8627450980384</v>
      </c>
      <c r="N104" s="2">
        <f t="shared" si="11"/>
        <v>6619.411764705882</v>
      </c>
      <c r="O104" s="2">
        <f t="shared" si="12"/>
        <v>294.11764705882354</v>
      </c>
      <c r="P104" s="8">
        <v>4.7558150711264902E-2</v>
      </c>
      <c r="Q104" s="8">
        <v>1.062552864282968</v>
      </c>
      <c r="R104" s="8">
        <v>8.31133010682166E-2</v>
      </c>
      <c r="S104" s="8">
        <f>Tabelle1[[#This Row],[corr_x]]/1000</f>
        <v>13.762696078431373</v>
      </c>
      <c r="T104" s="8">
        <f>Tabelle1[[#This Row],[corr_y]]/1000</f>
        <v>8.005691176470588</v>
      </c>
      <c r="U104" s="8">
        <f>Tabelle1[[#This Row],[corr_z]]/1000</f>
        <v>54.779411764705884</v>
      </c>
      <c r="V104" s="8">
        <f>Tabelle1[[#This Row],[corr_soma_x]]/1000</f>
        <v>8.3108627450980386</v>
      </c>
      <c r="W104" s="8">
        <f>Tabelle1[[#This Row],[corr_soma_y]]/1000</f>
        <v>6.6194117647058821</v>
      </c>
      <c r="X104" s="8">
        <f>Tabelle1[[#This Row],[corr_soma_z]]/1000</f>
        <v>0.29411764705882354</v>
      </c>
    </row>
    <row r="105" spans="1:24" x14ac:dyDescent="0.35">
      <c r="A105" s="7" t="s">
        <v>5</v>
      </c>
      <c r="B105" s="7" t="s">
        <v>18</v>
      </c>
      <c r="C105" s="6">
        <v>82</v>
      </c>
      <c r="D105" s="1">
        <v>1432.82</v>
      </c>
      <c r="E105" s="1">
        <v>827.51900000000001</v>
      </c>
      <c r="F105" s="1">
        <v>5650</v>
      </c>
      <c r="G105" s="1">
        <v>847.70799999999997</v>
      </c>
      <c r="H105" s="1">
        <v>675.18</v>
      </c>
      <c r="I105" s="1">
        <v>30</v>
      </c>
      <c r="J105" s="2">
        <f t="shared" si="7"/>
        <v>14047.254901960783</v>
      </c>
      <c r="K105" s="2">
        <f t="shared" si="8"/>
        <v>8112.9313725490192</v>
      </c>
      <c r="L105" s="2">
        <f t="shared" si="9"/>
        <v>55392.156862745098</v>
      </c>
      <c r="M105" s="2">
        <f t="shared" si="10"/>
        <v>8310.8627450980384</v>
      </c>
      <c r="N105" s="2">
        <f t="shared" si="11"/>
        <v>6619.411764705882</v>
      </c>
      <c r="O105" s="2">
        <f t="shared" si="12"/>
        <v>294.11764705882354</v>
      </c>
      <c r="P105" s="8">
        <v>6.0872645136485964E-2</v>
      </c>
      <c r="Q105" s="8">
        <v>0.61780180699730869</v>
      </c>
      <c r="R105" s="8">
        <v>3.9608540455782465E-2</v>
      </c>
      <c r="S105" s="8">
        <f>Tabelle1[[#This Row],[corr_x]]/1000</f>
        <v>14.047254901960784</v>
      </c>
      <c r="T105" s="8">
        <f>Tabelle1[[#This Row],[corr_y]]/1000</f>
        <v>8.1129313725490189</v>
      </c>
      <c r="U105" s="8">
        <f>Tabelle1[[#This Row],[corr_z]]/1000</f>
        <v>55.392156862745097</v>
      </c>
      <c r="V105" s="8">
        <f>Tabelle1[[#This Row],[corr_soma_x]]/1000</f>
        <v>8.3108627450980386</v>
      </c>
      <c r="W105" s="8">
        <f>Tabelle1[[#This Row],[corr_soma_y]]/1000</f>
        <v>6.6194117647058821</v>
      </c>
      <c r="X105" s="8">
        <f>Tabelle1[[#This Row],[corr_soma_z]]/1000</f>
        <v>0.29411764705882354</v>
      </c>
    </row>
    <row r="106" spans="1:24" x14ac:dyDescent="0.35">
      <c r="A106" s="7" t="s">
        <v>5</v>
      </c>
      <c r="B106" s="7" t="s">
        <v>18</v>
      </c>
      <c r="C106" s="6">
        <v>83</v>
      </c>
      <c r="D106" s="1">
        <v>1459.32</v>
      </c>
      <c r="E106" s="1">
        <v>864.274</v>
      </c>
      <c r="F106" s="1">
        <v>5675</v>
      </c>
      <c r="G106" s="1">
        <v>847.70799999999997</v>
      </c>
      <c r="H106" s="1">
        <v>675.18</v>
      </c>
      <c r="I106" s="1">
        <v>30</v>
      </c>
      <c r="J106" s="2">
        <f t="shared" si="7"/>
        <v>14307.058823529411</v>
      </c>
      <c r="K106" s="2">
        <f t="shared" si="8"/>
        <v>8473.2745098039213</v>
      </c>
      <c r="L106" s="2">
        <f t="shared" si="9"/>
        <v>55637.25490196079</v>
      </c>
      <c r="M106" s="2">
        <f t="shared" si="10"/>
        <v>8310.8627450980384</v>
      </c>
      <c r="N106" s="2">
        <f t="shared" si="11"/>
        <v>6619.411764705882</v>
      </c>
      <c r="O106" s="2">
        <f t="shared" si="12"/>
        <v>294.11764705882354</v>
      </c>
      <c r="P106" s="8">
        <v>5.3836697424067666E-2</v>
      </c>
      <c r="Q106" s="8">
        <v>1.7791426374471357</v>
      </c>
      <c r="R106" s="8">
        <v>0.11784871580312248</v>
      </c>
      <c r="S106" s="8">
        <f>Tabelle1[[#This Row],[corr_x]]/1000</f>
        <v>14.307058823529411</v>
      </c>
      <c r="T106" s="8">
        <f>Tabelle1[[#This Row],[corr_y]]/1000</f>
        <v>8.4732745098039217</v>
      </c>
      <c r="U106" s="8">
        <f>Tabelle1[[#This Row],[corr_z]]/1000</f>
        <v>55.637254901960787</v>
      </c>
      <c r="V106" s="8">
        <f>Tabelle1[[#This Row],[corr_soma_x]]/1000</f>
        <v>8.3108627450980386</v>
      </c>
      <c r="W106" s="8">
        <f>Tabelle1[[#This Row],[corr_soma_y]]/1000</f>
        <v>6.6194117647058821</v>
      </c>
      <c r="X106" s="8">
        <f>Tabelle1[[#This Row],[corr_soma_z]]/1000</f>
        <v>0.29411764705882354</v>
      </c>
    </row>
    <row r="107" spans="1:24" x14ac:dyDescent="0.35">
      <c r="A107" s="7" t="s">
        <v>5</v>
      </c>
      <c r="B107" s="7" t="s">
        <v>18</v>
      </c>
      <c r="C107" s="6">
        <v>84</v>
      </c>
      <c r="D107" s="1">
        <v>1705.95</v>
      </c>
      <c r="E107" s="1">
        <v>694.04</v>
      </c>
      <c r="F107" s="1">
        <v>5782.5</v>
      </c>
      <c r="G107" s="1">
        <v>847.70799999999997</v>
      </c>
      <c r="H107" s="1">
        <v>675.18</v>
      </c>
      <c r="I107" s="1">
        <v>30</v>
      </c>
      <c r="J107" s="2">
        <f t="shared" si="7"/>
        <v>16725</v>
      </c>
      <c r="K107" s="2">
        <f t="shared" si="8"/>
        <v>6804.3137254901958</v>
      </c>
      <c r="L107" s="2">
        <f t="shared" si="9"/>
        <v>56691.176470588231</v>
      </c>
      <c r="M107" s="2">
        <f t="shared" si="10"/>
        <v>8310.8627450980384</v>
      </c>
      <c r="N107" s="2">
        <f t="shared" si="11"/>
        <v>6619.411764705882</v>
      </c>
      <c r="O107" s="2">
        <f t="shared" si="12"/>
        <v>294.11764705882354</v>
      </c>
      <c r="P107" s="8">
        <v>8.0139369473279501E-2</v>
      </c>
      <c r="Q107" s="8">
        <v>2.0295271049596311</v>
      </c>
      <c r="R107" s="8">
        <v>0.21157021055250244</v>
      </c>
      <c r="S107" s="8">
        <f>Tabelle1[[#This Row],[corr_x]]/1000</f>
        <v>16.725000000000001</v>
      </c>
      <c r="T107" s="8">
        <f>Tabelle1[[#This Row],[corr_y]]/1000</f>
        <v>6.8043137254901955</v>
      </c>
      <c r="U107" s="8">
        <f>Tabelle1[[#This Row],[corr_z]]/1000</f>
        <v>56.691176470588232</v>
      </c>
      <c r="V107" s="8">
        <f>Tabelle1[[#This Row],[corr_soma_x]]/1000</f>
        <v>8.3108627450980386</v>
      </c>
      <c r="W107" s="8">
        <f>Tabelle1[[#This Row],[corr_soma_y]]/1000</f>
        <v>6.6194117647058821</v>
      </c>
      <c r="X107" s="8">
        <f>Tabelle1[[#This Row],[corr_soma_z]]/1000</f>
        <v>0.29411764705882354</v>
      </c>
    </row>
    <row r="108" spans="1:24" x14ac:dyDescent="0.35">
      <c r="A108" s="7" t="s">
        <v>5</v>
      </c>
      <c r="B108" s="7" t="s">
        <v>18</v>
      </c>
      <c r="C108" s="6">
        <v>85</v>
      </c>
      <c r="D108" s="1">
        <v>1776.085</v>
      </c>
      <c r="E108" s="1">
        <v>667.38699999999994</v>
      </c>
      <c r="F108" s="1">
        <v>5792.5</v>
      </c>
      <c r="G108" s="1">
        <v>847.70799999999997</v>
      </c>
      <c r="H108" s="1">
        <v>675.18</v>
      </c>
      <c r="I108" s="1">
        <v>30</v>
      </c>
      <c r="J108" s="2">
        <f t="shared" si="7"/>
        <v>17412.598039215689</v>
      </c>
      <c r="K108" s="2">
        <f t="shared" si="8"/>
        <v>6543.0098039215682</v>
      </c>
      <c r="L108" s="2">
        <f t="shared" si="9"/>
        <v>56789.215686274511</v>
      </c>
      <c r="M108" s="2">
        <f t="shared" si="10"/>
        <v>8310.8627450980384</v>
      </c>
      <c r="N108" s="2">
        <f t="shared" si="11"/>
        <v>6619.411764705882</v>
      </c>
      <c r="O108" s="2">
        <f t="shared" si="12"/>
        <v>294.11764705882354</v>
      </c>
      <c r="P108" s="8">
        <v>4.2156189926951172E-2</v>
      </c>
      <c r="Q108" s="8">
        <v>2.1486351403306423</v>
      </c>
      <c r="R108" s="8">
        <v>0.19383476189399251</v>
      </c>
      <c r="S108" s="8">
        <f>Tabelle1[[#This Row],[corr_x]]/1000</f>
        <v>17.412598039215688</v>
      </c>
      <c r="T108" s="8">
        <f>Tabelle1[[#This Row],[corr_y]]/1000</f>
        <v>6.5430098039215681</v>
      </c>
      <c r="U108" s="8">
        <f>Tabelle1[[#This Row],[corr_z]]/1000</f>
        <v>56.78921568627451</v>
      </c>
      <c r="V108" s="8">
        <f>Tabelle1[[#This Row],[corr_soma_x]]/1000</f>
        <v>8.3108627450980386</v>
      </c>
      <c r="W108" s="8">
        <f>Tabelle1[[#This Row],[corr_soma_y]]/1000</f>
        <v>6.6194117647058821</v>
      </c>
      <c r="X108" s="8">
        <f>Tabelle1[[#This Row],[corr_soma_z]]/1000</f>
        <v>0.29411764705882354</v>
      </c>
    </row>
    <row r="109" spans="1:24" x14ac:dyDescent="0.35">
      <c r="A109" s="7" t="s">
        <v>6</v>
      </c>
      <c r="B109" s="7" t="s">
        <v>19</v>
      </c>
      <c r="C109" s="6">
        <v>1</v>
      </c>
      <c r="D109" s="2">
        <v>75.865499999999997</v>
      </c>
      <c r="E109" s="2">
        <v>2009.16</v>
      </c>
      <c r="F109" s="2">
        <v>75</v>
      </c>
      <c r="G109" s="2">
        <v>84.986599999999996</v>
      </c>
      <c r="H109" s="2">
        <v>3030.83</v>
      </c>
      <c r="I109" s="2">
        <v>80</v>
      </c>
      <c r="J109" s="2">
        <f>(D109/100)*1000</f>
        <v>758.65499999999997</v>
      </c>
      <c r="K109" s="2">
        <f>E109*10</f>
        <v>20091.600000000002</v>
      </c>
      <c r="L109" s="2">
        <f>F109*10</f>
        <v>750</v>
      </c>
      <c r="M109" s="2">
        <f>G109*10</f>
        <v>849.86599999999999</v>
      </c>
      <c r="N109" s="2">
        <f>H109*10</f>
        <v>30308.3</v>
      </c>
      <c r="O109" s="2">
        <f>I109*10</f>
        <v>800</v>
      </c>
      <c r="P109" s="8">
        <v>2.7927499999999997E-2</v>
      </c>
      <c r="Q109" s="8">
        <v>1.4687399999999999</v>
      </c>
      <c r="R109" s="8">
        <v>0.19104299999999999</v>
      </c>
      <c r="S109" s="8">
        <f>Tabelle1[[#This Row],[corr_x]]/1000</f>
        <v>0.75865499999999997</v>
      </c>
      <c r="T109" s="8">
        <f>Tabelle1[[#This Row],[corr_y]]/1000</f>
        <v>20.091600000000003</v>
      </c>
      <c r="U109" s="8">
        <f>Tabelle1[[#This Row],[corr_z]]/1000</f>
        <v>0.75</v>
      </c>
      <c r="V109" s="8">
        <f>Tabelle1[[#This Row],[corr_soma_x]]/1000</f>
        <v>0.84986600000000001</v>
      </c>
      <c r="W109" s="8">
        <f>Tabelle1[[#This Row],[corr_soma_y]]/1000</f>
        <v>30.308299999999999</v>
      </c>
      <c r="X109" s="8">
        <f>Tabelle1[[#This Row],[corr_soma_z]]/1000</f>
        <v>0.8</v>
      </c>
    </row>
    <row r="110" spans="1:24" x14ac:dyDescent="0.35">
      <c r="A110" s="7" t="s">
        <v>6</v>
      </c>
      <c r="B110" s="7" t="s">
        <v>19</v>
      </c>
      <c r="C110" s="6">
        <v>2</v>
      </c>
      <c r="D110" s="2">
        <v>171.24700000000001</v>
      </c>
      <c r="E110" s="2">
        <v>2004.155</v>
      </c>
      <c r="F110" s="2">
        <v>82.5</v>
      </c>
      <c r="G110" s="2">
        <v>84.986599999999996</v>
      </c>
      <c r="H110" s="2">
        <v>3030.83</v>
      </c>
      <c r="I110" s="2">
        <v>80</v>
      </c>
      <c r="J110" s="2">
        <f>(D110/100)*1000</f>
        <v>1712.4700000000003</v>
      </c>
      <c r="K110" s="2">
        <f>E110*10</f>
        <v>20041.55</v>
      </c>
      <c r="L110" s="2">
        <f>F110*10</f>
        <v>825</v>
      </c>
      <c r="M110" s="2">
        <f>G110*10</f>
        <v>849.86599999999999</v>
      </c>
      <c r="N110" s="2">
        <f>H110*10</f>
        <v>30308.3</v>
      </c>
      <c r="O110" s="2">
        <f>I110*10</f>
        <v>800</v>
      </c>
      <c r="P110" s="8">
        <v>7.44393E-2</v>
      </c>
      <c r="Q110" s="8">
        <v>1.2502799999999998</v>
      </c>
      <c r="R110" s="8">
        <v>0.187498</v>
      </c>
      <c r="S110" s="8">
        <f>Tabelle1[[#This Row],[corr_x]]/1000</f>
        <v>1.7124700000000002</v>
      </c>
      <c r="T110" s="8">
        <f>Tabelle1[[#This Row],[corr_y]]/1000</f>
        <v>20.041550000000001</v>
      </c>
      <c r="U110" s="8">
        <f>Tabelle1[[#This Row],[corr_z]]/1000</f>
        <v>0.82499999999999996</v>
      </c>
      <c r="V110" s="8">
        <f>Tabelle1[[#This Row],[corr_soma_x]]/1000</f>
        <v>0.84986600000000001</v>
      </c>
      <c r="W110" s="8">
        <f>Tabelle1[[#This Row],[corr_soma_y]]/1000</f>
        <v>30.308299999999999</v>
      </c>
      <c r="X110" s="8">
        <f>Tabelle1[[#This Row],[corr_soma_z]]/1000</f>
        <v>0.8</v>
      </c>
    </row>
    <row r="111" spans="1:24" x14ac:dyDescent="0.35">
      <c r="A111" s="7" t="s">
        <v>6</v>
      </c>
      <c r="B111" s="7" t="s">
        <v>19</v>
      </c>
      <c r="C111" s="6">
        <v>3</v>
      </c>
      <c r="D111" s="2">
        <v>224.97899999999998</v>
      </c>
      <c r="E111" s="2">
        <v>2005.0450000000001</v>
      </c>
      <c r="F111" s="2">
        <v>147.5</v>
      </c>
      <c r="G111" s="2">
        <v>84.986599999999996</v>
      </c>
      <c r="H111" s="2">
        <v>3030.83</v>
      </c>
      <c r="I111" s="2">
        <v>80</v>
      </c>
      <c r="J111" s="2">
        <f>(D111/100)*1000</f>
        <v>2249.79</v>
      </c>
      <c r="K111" s="2">
        <f>E111*10</f>
        <v>20050.45</v>
      </c>
      <c r="L111" s="2">
        <f>F111*10</f>
        <v>1475</v>
      </c>
      <c r="M111" s="2">
        <f>G111*10</f>
        <v>849.86599999999999</v>
      </c>
      <c r="N111" s="2">
        <f>H111*10</f>
        <v>30308.3</v>
      </c>
      <c r="O111" s="2">
        <f>I111*10</f>
        <v>800</v>
      </c>
      <c r="P111" s="8">
        <v>5.4084100000000003E-2</v>
      </c>
      <c r="Q111" s="8">
        <v>1.61155</v>
      </c>
      <c r="R111" s="8">
        <v>0.274094</v>
      </c>
      <c r="S111" s="8">
        <f>Tabelle1[[#This Row],[corr_x]]/1000</f>
        <v>2.24979</v>
      </c>
      <c r="T111" s="8">
        <f>Tabelle1[[#This Row],[corr_y]]/1000</f>
        <v>20.050450000000001</v>
      </c>
      <c r="U111" s="8">
        <f>Tabelle1[[#This Row],[corr_z]]/1000</f>
        <v>1.4750000000000001</v>
      </c>
      <c r="V111" s="8">
        <f>Tabelle1[[#This Row],[corr_soma_x]]/1000</f>
        <v>0.84986600000000001</v>
      </c>
      <c r="W111" s="8">
        <f>Tabelle1[[#This Row],[corr_soma_y]]/1000</f>
        <v>30.308299999999999</v>
      </c>
      <c r="X111" s="8">
        <f>Tabelle1[[#This Row],[corr_soma_z]]/1000</f>
        <v>0.8</v>
      </c>
    </row>
    <row r="112" spans="1:24" x14ac:dyDescent="0.35">
      <c r="A112" s="7" t="s">
        <v>6</v>
      </c>
      <c r="B112" s="7" t="s">
        <v>18</v>
      </c>
      <c r="C112" s="6">
        <v>2</v>
      </c>
      <c r="D112" s="2">
        <v>364.89100000000002</v>
      </c>
      <c r="E112" s="2">
        <v>1970.2649999999999</v>
      </c>
      <c r="F112" s="2">
        <v>132.5</v>
      </c>
      <c r="G112" s="2">
        <v>84.986599999999996</v>
      </c>
      <c r="H112" s="2">
        <v>3030.83</v>
      </c>
      <c r="I112" s="2">
        <v>80</v>
      </c>
      <c r="J112" s="2">
        <f>(D112/100)*1000</f>
        <v>3648.9100000000003</v>
      </c>
      <c r="K112" s="2">
        <f>E112*10</f>
        <v>19702.649999999998</v>
      </c>
      <c r="L112" s="2">
        <f>F112*10</f>
        <v>1325</v>
      </c>
      <c r="M112" s="2">
        <f>G112*10</f>
        <v>849.86599999999999</v>
      </c>
      <c r="N112" s="2">
        <f>H112*10</f>
        <v>30308.3</v>
      </c>
      <c r="O112" s="2">
        <f>I112*10</f>
        <v>800</v>
      </c>
      <c r="P112" s="8">
        <v>8.7854999999999989E-2</v>
      </c>
      <c r="Q112" s="8">
        <v>1.2824899999999999</v>
      </c>
      <c r="R112" s="8">
        <v>0.14571400000000001</v>
      </c>
      <c r="S112" s="8">
        <f>Tabelle1[[#This Row],[corr_x]]/1000</f>
        <v>3.6489100000000003</v>
      </c>
      <c r="T112" s="8">
        <f>Tabelle1[[#This Row],[corr_y]]/1000</f>
        <v>19.702649999999998</v>
      </c>
      <c r="U112" s="8">
        <f>Tabelle1[[#This Row],[corr_z]]/1000</f>
        <v>1.325</v>
      </c>
      <c r="V112" s="8">
        <f>Tabelle1[[#This Row],[corr_soma_x]]/1000</f>
        <v>0.84986600000000001</v>
      </c>
      <c r="W112" s="8">
        <f>Tabelle1[[#This Row],[corr_soma_y]]/1000</f>
        <v>30.308299999999999</v>
      </c>
      <c r="X112" s="8">
        <f>Tabelle1[[#This Row],[corr_soma_z]]/1000</f>
        <v>0.8</v>
      </c>
    </row>
    <row r="113" spans="1:24" x14ac:dyDescent="0.35">
      <c r="A113" s="7" t="s">
        <v>6</v>
      </c>
      <c r="B113" s="7" t="s">
        <v>18</v>
      </c>
      <c r="C113" s="6">
        <v>3</v>
      </c>
      <c r="D113" s="2">
        <v>296.05849999999998</v>
      </c>
      <c r="E113" s="2">
        <v>1951.13</v>
      </c>
      <c r="F113" s="2">
        <v>152.5</v>
      </c>
      <c r="G113" s="2">
        <v>84.986599999999996</v>
      </c>
      <c r="H113" s="2">
        <v>3030.83</v>
      </c>
      <c r="I113" s="2">
        <v>80</v>
      </c>
      <c r="J113" s="2">
        <f>(D113/100)*1000</f>
        <v>2960.585</v>
      </c>
      <c r="K113" s="2">
        <f>E113*10</f>
        <v>19511.300000000003</v>
      </c>
      <c r="L113" s="2">
        <f>F113*10</f>
        <v>1525</v>
      </c>
      <c r="M113" s="2">
        <f>G113*10</f>
        <v>849.86599999999999</v>
      </c>
      <c r="N113" s="2">
        <f>H113*10</f>
        <v>30308.3</v>
      </c>
      <c r="O113" s="2">
        <f>I113*10</f>
        <v>800</v>
      </c>
      <c r="P113" s="8">
        <v>9.2171600000000006E-2</v>
      </c>
      <c r="Q113" s="8">
        <v>1.24586</v>
      </c>
      <c r="R113" s="8">
        <v>0.12686700000000001</v>
      </c>
      <c r="S113" s="8">
        <f>Tabelle1[[#This Row],[corr_x]]/1000</f>
        <v>2.960585</v>
      </c>
      <c r="T113" s="8">
        <f>Tabelle1[[#This Row],[corr_y]]/1000</f>
        <v>19.511300000000002</v>
      </c>
      <c r="U113" s="8">
        <f>Tabelle1[[#This Row],[corr_z]]/1000</f>
        <v>1.5249999999999999</v>
      </c>
      <c r="V113" s="8">
        <f>Tabelle1[[#This Row],[corr_soma_x]]/1000</f>
        <v>0.84986600000000001</v>
      </c>
      <c r="W113" s="8">
        <f>Tabelle1[[#This Row],[corr_soma_y]]/1000</f>
        <v>30.308299999999999</v>
      </c>
      <c r="X113" s="8">
        <f>Tabelle1[[#This Row],[corr_soma_z]]/1000</f>
        <v>0.8</v>
      </c>
    </row>
    <row r="114" spans="1:24" x14ac:dyDescent="0.35">
      <c r="A114" s="7" t="s">
        <v>6</v>
      </c>
      <c r="B114" s="7" t="s">
        <v>19</v>
      </c>
      <c r="C114" s="6">
        <v>4</v>
      </c>
      <c r="D114" s="2">
        <v>290.34399999999999</v>
      </c>
      <c r="E114" s="2">
        <v>1993.33</v>
      </c>
      <c r="F114" s="2">
        <v>147.5</v>
      </c>
      <c r="G114" s="2">
        <v>84.986599999999996</v>
      </c>
      <c r="H114" s="2">
        <v>3030.83</v>
      </c>
      <c r="I114" s="2">
        <v>80</v>
      </c>
      <c r="J114" s="2">
        <f>(D114/100)*1000</f>
        <v>2903.4399999999996</v>
      </c>
      <c r="K114" s="2">
        <f>E114*10</f>
        <v>19933.3</v>
      </c>
      <c r="L114" s="2">
        <f>F114*10</f>
        <v>1475</v>
      </c>
      <c r="M114" s="2">
        <f>G114*10</f>
        <v>849.86599999999999</v>
      </c>
      <c r="N114" s="2">
        <f>H114*10</f>
        <v>30308.3</v>
      </c>
      <c r="O114" s="2">
        <f>I114*10</f>
        <v>800</v>
      </c>
      <c r="P114" s="8">
        <v>1.7081299999999997E-2</v>
      </c>
      <c r="Q114" s="8">
        <v>1.1317700000000002</v>
      </c>
      <c r="R114" s="8">
        <v>0.13125000000000001</v>
      </c>
      <c r="S114" s="8">
        <f>Tabelle1[[#This Row],[corr_x]]/1000</f>
        <v>2.9034399999999998</v>
      </c>
      <c r="T114" s="8">
        <f>Tabelle1[[#This Row],[corr_y]]/1000</f>
        <v>19.933299999999999</v>
      </c>
      <c r="U114" s="8">
        <f>Tabelle1[[#This Row],[corr_z]]/1000</f>
        <v>1.4750000000000001</v>
      </c>
      <c r="V114" s="8">
        <f>Tabelle1[[#This Row],[corr_soma_x]]/1000</f>
        <v>0.84986600000000001</v>
      </c>
      <c r="W114" s="8">
        <f>Tabelle1[[#This Row],[corr_soma_y]]/1000</f>
        <v>30.308299999999999</v>
      </c>
      <c r="X114" s="8">
        <f>Tabelle1[[#This Row],[corr_soma_z]]/1000</f>
        <v>0.8</v>
      </c>
    </row>
    <row r="115" spans="1:24" x14ac:dyDescent="0.35">
      <c r="A115" s="7" t="s">
        <v>6</v>
      </c>
      <c r="B115" s="7" t="s">
        <v>18</v>
      </c>
      <c r="C115" s="6">
        <v>4</v>
      </c>
      <c r="D115" s="2">
        <v>442.95000000000005</v>
      </c>
      <c r="E115" s="2">
        <v>1904.79</v>
      </c>
      <c r="F115" s="2">
        <v>167.5</v>
      </c>
      <c r="G115" s="2">
        <v>84.986599999999996</v>
      </c>
      <c r="H115" s="2">
        <v>3030.83</v>
      </c>
      <c r="I115" s="2">
        <v>80</v>
      </c>
      <c r="J115" s="2">
        <f>(D115/100)*1000</f>
        <v>4429.5000000000009</v>
      </c>
      <c r="K115" s="2">
        <f>E115*10</f>
        <v>19047.900000000001</v>
      </c>
      <c r="L115" s="2">
        <f>F115*10</f>
        <v>1675</v>
      </c>
      <c r="M115" s="2">
        <f>G115*10</f>
        <v>849.86599999999999</v>
      </c>
      <c r="N115" s="2">
        <f>H115*10</f>
        <v>30308.3</v>
      </c>
      <c r="O115" s="2">
        <f>I115*10</f>
        <v>800</v>
      </c>
      <c r="P115" s="8">
        <v>1.8965599999999999E-2</v>
      </c>
      <c r="Q115" s="8">
        <v>1.61449</v>
      </c>
      <c r="R115" s="8">
        <v>0.16736999999999999</v>
      </c>
      <c r="S115" s="8">
        <f>Tabelle1[[#This Row],[corr_x]]/1000</f>
        <v>4.4295000000000009</v>
      </c>
      <c r="T115" s="8">
        <f>Tabelle1[[#This Row],[corr_y]]/1000</f>
        <v>19.047900000000002</v>
      </c>
      <c r="U115" s="8">
        <f>Tabelle1[[#This Row],[corr_z]]/1000</f>
        <v>1.675</v>
      </c>
      <c r="V115" s="8">
        <f>Tabelle1[[#This Row],[corr_soma_x]]/1000</f>
        <v>0.84986600000000001</v>
      </c>
      <c r="W115" s="8">
        <f>Tabelle1[[#This Row],[corr_soma_y]]/1000</f>
        <v>30.308299999999999</v>
      </c>
      <c r="X115" s="8">
        <f>Tabelle1[[#This Row],[corr_soma_z]]/1000</f>
        <v>0.8</v>
      </c>
    </row>
    <row r="116" spans="1:24" x14ac:dyDescent="0.35">
      <c r="A116" s="7" t="s">
        <v>6</v>
      </c>
      <c r="B116" s="7" t="s">
        <v>18</v>
      </c>
      <c r="C116" s="6">
        <v>5</v>
      </c>
      <c r="D116" s="2">
        <v>428.99250000000001</v>
      </c>
      <c r="E116" s="2">
        <v>1858.27</v>
      </c>
      <c r="F116" s="2">
        <v>157.5</v>
      </c>
      <c r="G116" s="2">
        <v>84.986599999999996</v>
      </c>
      <c r="H116" s="2">
        <v>3030.83</v>
      </c>
      <c r="I116" s="2">
        <v>80</v>
      </c>
      <c r="J116" s="2">
        <f>(D116/100)*1000</f>
        <v>4289.9250000000002</v>
      </c>
      <c r="K116" s="2">
        <f>E116*10</f>
        <v>18582.7</v>
      </c>
      <c r="L116" s="2">
        <f>F116*10</f>
        <v>1575</v>
      </c>
      <c r="M116" s="2">
        <f>G116*10</f>
        <v>849.86599999999999</v>
      </c>
      <c r="N116" s="2">
        <f>H116*10</f>
        <v>30308.3</v>
      </c>
      <c r="O116" s="2">
        <f>I116*10</f>
        <v>800</v>
      </c>
      <c r="P116" s="8">
        <v>6.5292100000000006E-2</v>
      </c>
      <c r="Q116" s="8">
        <v>1.29295</v>
      </c>
      <c r="R116" s="8">
        <v>0.13811999999999999</v>
      </c>
      <c r="S116" s="8">
        <f>Tabelle1[[#This Row],[corr_x]]/1000</f>
        <v>4.2899250000000002</v>
      </c>
      <c r="T116" s="8">
        <f>Tabelle1[[#This Row],[corr_y]]/1000</f>
        <v>18.582699999999999</v>
      </c>
      <c r="U116" s="8">
        <f>Tabelle1[[#This Row],[corr_z]]/1000</f>
        <v>1.575</v>
      </c>
      <c r="V116" s="8">
        <f>Tabelle1[[#This Row],[corr_soma_x]]/1000</f>
        <v>0.84986600000000001</v>
      </c>
      <c r="W116" s="8">
        <f>Tabelle1[[#This Row],[corr_soma_y]]/1000</f>
        <v>30.308299999999999</v>
      </c>
      <c r="X116" s="8">
        <f>Tabelle1[[#This Row],[corr_soma_z]]/1000</f>
        <v>0.8</v>
      </c>
    </row>
    <row r="117" spans="1:24" x14ac:dyDescent="0.35">
      <c r="A117" s="7" t="s">
        <v>6</v>
      </c>
      <c r="B117" s="7" t="s">
        <v>18</v>
      </c>
      <c r="C117" s="6">
        <v>6</v>
      </c>
      <c r="D117" s="2">
        <v>539.42100000000005</v>
      </c>
      <c r="E117" s="2">
        <v>1850.16</v>
      </c>
      <c r="F117" s="2">
        <v>160</v>
      </c>
      <c r="G117" s="2">
        <v>84.986599999999996</v>
      </c>
      <c r="H117" s="2">
        <v>3030.83</v>
      </c>
      <c r="I117" s="2">
        <v>80</v>
      </c>
      <c r="J117" s="2">
        <f>(D117/100)*1000</f>
        <v>5394.21</v>
      </c>
      <c r="K117" s="2">
        <f>E117*10</f>
        <v>18501.600000000002</v>
      </c>
      <c r="L117" s="2">
        <f>F117*10</f>
        <v>1600</v>
      </c>
      <c r="M117" s="2">
        <f>G117*10</f>
        <v>849.86599999999999</v>
      </c>
      <c r="N117" s="2">
        <f>H117*10</f>
        <v>30308.3</v>
      </c>
      <c r="O117" s="2">
        <f>I117*10</f>
        <v>800</v>
      </c>
      <c r="P117" s="8">
        <v>9.2928999999999998E-2</v>
      </c>
      <c r="Q117" s="8">
        <v>1.03698</v>
      </c>
      <c r="R117" s="8">
        <v>7.5489600000000004E-2</v>
      </c>
      <c r="S117" s="8">
        <f>Tabelle1[[#This Row],[corr_x]]/1000</f>
        <v>5.3942100000000002</v>
      </c>
      <c r="T117" s="8">
        <f>Tabelle1[[#This Row],[corr_y]]/1000</f>
        <v>18.501600000000003</v>
      </c>
      <c r="U117" s="8">
        <f>Tabelle1[[#This Row],[corr_z]]/1000</f>
        <v>1.6</v>
      </c>
      <c r="V117" s="8">
        <f>Tabelle1[[#This Row],[corr_soma_x]]/1000</f>
        <v>0.84986600000000001</v>
      </c>
      <c r="W117" s="8">
        <f>Tabelle1[[#This Row],[corr_soma_y]]/1000</f>
        <v>30.308299999999999</v>
      </c>
      <c r="X117" s="8">
        <f>Tabelle1[[#This Row],[corr_soma_z]]/1000</f>
        <v>0.8</v>
      </c>
    </row>
    <row r="118" spans="1:24" x14ac:dyDescent="0.35">
      <c r="A118" s="7" t="s">
        <v>6</v>
      </c>
      <c r="B118" s="7" t="s">
        <v>18</v>
      </c>
      <c r="C118" s="6">
        <v>7</v>
      </c>
      <c r="D118" s="2">
        <v>658.07799999999997</v>
      </c>
      <c r="E118" s="2">
        <v>1700.02</v>
      </c>
      <c r="F118" s="2">
        <v>215</v>
      </c>
      <c r="G118" s="2">
        <v>84.986599999999996</v>
      </c>
      <c r="H118" s="2">
        <v>3030.83</v>
      </c>
      <c r="I118" s="2">
        <v>80</v>
      </c>
      <c r="J118" s="2">
        <f>(D118/100)*1000</f>
        <v>6580.78</v>
      </c>
      <c r="K118" s="2">
        <f>E118*10</f>
        <v>17000.2</v>
      </c>
      <c r="L118" s="2">
        <f>F118*10</f>
        <v>2150</v>
      </c>
      <c r="M118" s="2">
        <f>G118*10</f>
        <v>849.86599999999999</v>
      </c>
      <c r="N118" s="2">
        <f>H118*10</f>
        <v>30308.3</v>
      </c>
      <c r="O118" s="2">
        <f>I118*10</f>
        <v>800</v>
      </c>
      <c r="P118" s="8">
        <v>3.3518900000000004E-2</v>
      </c>
      <c r="Q118" s="8">
        <v>0.30599499999999996</v>
      </c>
      <c r="R118" s="8">
        <v>1.8472099999999998E-2</v>
      </c>
      <c r="S118" s="8">
        <f>Tabelle1[[#This Row],[corr_x]]/1000</f>
        <v>6.5807799999999999</v>
      </c>
      <c r="T118" s="8">
        <f>Tabelle1[[#This Row],[corr_y]]/1000</f>
        <v>17.0002</v>
      </c>
      <c r="U118" s="8">
        <f>Tabelle1[[#This Row],[corr_z]]/1000</f>
        <v>2.15</v>
      </c>
      <c r="V118" s="8">
        <f>Tabelle1[[#This Row],[corr_soma_x]]/1000</f>
        <v>0.84986600000000001</v>
      </c>
      <c r="W118" s="8">
        <f>Tabelle1[[#This Row],[corr_soma_y]]/1000</f>
        <v>30.308299999999999</v>
      </c>
      <c r="X118" s="8">
        <f>Tabelle1[[#This Row],[corr_soma_z]]/1000</f>
        <v>0.8</v>
      </c>
    </row>
    <row r="119" spans="1:24" x14ac:dyDescent="0.35">
      <c r="A119" s="7" t="s">
        <v>6</v>
      </c>
      <c r="B119" s="7" t="s">
        <v>18</v>
      </c>
      <c r="C119" s="6">
        <v>8</v>
      </c>
      <c r="D119" s="2">
        <v>480.05599999999998</v>
      </c>
      <c r="E119" s="2">
        <v>1829.82</v>
      </c>
      <c r="F119" s="2">
        <v>227.5</v>
      </c>
      <c r="G119" s="2">
        <v>84.986599999999996</v>
      </c>
      <c r="H119" s="2">
        <v>3030.83</v>
      </c>
      <c r="I119" s="2">
        <v>80</v>
      </c>
      <c r="J119" s="2">
        <f>(D119/100)*1000</f>
        <v>4800.5599999999995</v>
      </c>
      <c r="K119" s="2">
        <f>E119*10</f>
        <v>18298.2</v>
      </c>
      <c r="L119" s="2">
        <f>F119*10</f>
        <v>2275</v>
      </c>
      <c r="M119" s="2">
        <f>G119*10</f>
        <v>849.86599999999999</v>
      </c>
      <c r="N119" s="2">
        <f>H119*10</f>
        <v>30308.3</v>
      </c>
      <c r="O119" s="2">
        <f>I119*10</f>
        <v>800</v>
      </c>
      <c r="P119" s="8">
        <v>4.7127099999999998E-2</v>
      </c>
      <c r="Q119" s="8">
        <v>2.97973</v>
      </c>
      <c r="R119" s="8">
        <v>0.28794399999999998</v>
      </c>
      <c r="S119" s="8">
        <f>Tabelle1[[#This Row],[corr_x]]/1000</f>
        <v>4.8005599999999991</v>
      </c>
      <c r="T119" s="8">
        <f>Tabelle1[[#This Row],[corr_y]]/1000</f>
        <v>18.298200000000001</v>
      </c>
      <c r="U119" s="8">
        <f>Tabelle1[[#This Row],[corr_z]]/1000</f>
        <v>2.2749999999999999</v>
      </c>
      <c r="V119" s="8">
        <f>Tabelle1[[#This Row],[corr_soma_x]]/1000</f>
        <v>0.84986600000000001</v>
      </c>
      <c r="W119" s="8">
        <f>Tabelle1[[#This Row],[corr_soma_y]]/1000</f>
        <v>30.308299999999999</v>
      </c>
      <c r="X119" s="8">
        <f>Tabelle1[[#This Row],[corr_soma_z]]/1000</f>
        <v>0.8</v>
      </c>
    </row>
    <row r="120" spans="1:24" x14ac:dyDescent="0.35">
      <c r="A120" s="7" t="s">
        <v>6</v>
      </c>
      <c r="B120" s="7" t="s">
        <v>18</v>
      </c>
      <c r="C120" s="6">
        <v>9</v>
      </c>
      <c r="D120" s="2">
        <v>533.56299999999999</v>
      </c>
      <c r="E120" s="2">
        <v>1815.79</v>
      </c>
      <c r="F120" s="2">
        <v>227.5</v>
      </c>
      <c r="G120" s="2">
        <v>84.986599999999996</v>
      </c>
      <c r="H120" s="2">
        <v>3030.83</v>
      </c>
      <c r="I120" s="2">
        <v>80</v>
      </c>
      <c r="J120" s="2">
        <f>(D120/100)*1000</f>
        <v>5335.63</v>
      </c>
      <c r="K120" s="2">
        <f>E120*10</f>
        <v>18157.900000000001</v>
      </c>
      <c r="L120" s="2">
        <f>F120*10</f>
        <v>2275</v>
      </c>
      <c r="M120" s="2">
        <f>G120*10</f>
        <v>849.86599999999999</v>
      </c>
      <c r="N120" s="2">
        <f>H120*10</f>
        <v>30308.3</v>
      </c>
      <c r="O120" s="2">
        <f>I120*10</f>
        <v>800</v>
      </c>
      <c r="P120" s="8">
        <v>5.9267800000000002E-2</v>
      </c>
      <c r="Q120" s="8">
        <v>1.16384</v>
      </c>
      <c r="R120" s="8">
        <v>8.3197800000000002E-2</v>
      </c>
      <c r="S120" s="8">
        <f>Tabelle1[[#This Row],[corr_x]]/1000</f>
        <v>5.3356300000000001</v>
      </c>
      <c r="T120" s="8">
        <f>Tabelle1[[#This Row],[corr_y]]/1000</f>
        <v>18.157900000000001</v>
      </c>
      <c r="U120" s="8">
        <f>Tabelle1[[#This Row],[corr_z]]/1000</f>
        <v>2.2749999999999999</v>
      </c>
      <c r="V120" s="8">
        <f>Tabelle1[[#This Row],[corr_soma_x]]/1000</f>
        <v>0.84986600000000001</v>
      </c>
      <c r="W120" s="8">
        <f>Tabelle1[[#This Row],[corr_soma_y]]/1000</f>
        <v>30.308299999999999</v>
      </c>
      <c r="X120" s="8">
        <f>Tabelle1[[#This Row],[corr_soma_z]]/1000</f>
        <v>0.8</v>
      </c>
    </row>
    <row r="121" spans="1:24" x14ac:dyDescent="0.35">
      <c r="A121" s="7" t="s">
        <v>6</v>
      </c>
      <c r="B121" s="7" t="s">
        <v>18</v>
      </c>
      <c r="C121" s="6">
        <v>10</v>
      </c>
      <c r="D121" s="2">
        <v>623.13</v>
      </c>
      <c r="E121" s="2">
        <v>1786.97</v>
      </c>
      <c r="F121" s="2">
        <v>287.5</v>
      </c>
      <c r="G121" s="2">
        <v>84.986599999999996</v>
      </c>
      <c r="H121" s="2">
        <v>3030.83</v>
      </c>
      <c r="I121" s="2">
        <v>80</v>
      </c>
      <c r="J121" s="2">
        <f>(D121/100)*1000</f>
        <v>6231.3</v>
      </c>
      <c r="K121" s="2">
        <f>E121*10</f>
        <v>17869.7</v>
      </c>
      <c r="L121" s="2">
        <f>F121*10</f>
        <v>2875</v>
      </c>
      <c r="M121" s="2">
        <f>G121*10</f>
        <v>849.86599999999999</v>
      </c>
      <c r="N121" s="2">
        <f>H121*10</f>
        <v>30308.3</v>
      </c>
      <c r="O121" s="2">
        <f>I121*10</f>
        <v>800</v>
      </c>
      <c r="P121" s="8">
        <v>6.3419400000000001E-2</v>
      </c>
      <c r="Q121" s="8">
        <v>0.58779599999999999</v>
      </c>
      <c r="R121" s="8">
        <v>4.6863199999999994E-2</v>
      </c>
      <c r="S121" s="8">
        <f>Tabelle1[[#This Row],[corr_x]]/1000</f>
        <v>6.2313000000000001</v>
      </c>
      <c r="T121" s="8">
        <f>Tabelle1[[#This Row],[corr_y]]/1000</f>
        <v>17.869700000000002</v>
      </c>
      <c r="U121" s="8">
        <f>Tabelle1[[#This Row],[corr_z]]/1000</f>
        <v>2.875</v>
      </c>
      <c r="V121" s="8">
        <f>Tabelle1[[#This Row],[corr_soma_x]]/1000</f>
        <v>0.84986600000000001</v>
      </c>
      <c r="W121" s="8">
        <f>Tabelle1[[#This Row],[corr_soma_y]]/1000</f>
        <v>30.308299999999999</v>
      </c>
      <c r="X121" s="8">
        <f>Tabelle1[[#This Row],[corr_soma_z]]/1000</f>
        <v>0.8</v>
      </c>
    </row>
    <row r="122" spans="1:24" x14ac:dyDescent="0.35">
      <c r="A122" s="7" t="s">
        <v>6</v>
      </c>
      <c r="B122" s="7" t="s">
        <v>18</v>
      </c>
      <c r="C122" s="6">
        <v>12</v>
      </c>
      <c r="D122" s="2">
        <v>704.78499999999997</v>
      </c>
      <c r="E122" s="2">
        <v>1672.59</v>
      </c>
      <c r="F122" s="2">
        <v>360</v>
      </c>
      <c r="G122" s="2">
        <v>84.986599999999996</v>
      </c>
      <c r="H122" s="2">
        <v>3030.83</v>
      </c>
      <c r="I122" s="2">
        <v>80</v>
      </c>
      <c r="J122" s="2">
        <f>(D122/100)*1000</f>
        <v>7047.8499999999995</v>
      </c>
      <c r="K122" s="2">
        <f>E122*10</f>
        <v>16725.899999999998</v>
      </c>
      <c r="L122" s="2">
        <f>F122*10</f>
        <v>3600</v>
      </c>
      <c r="M122" s="2">
        <f>G122*10</f>
        <v>849.86599999999999</v>
      </c>
      <c r="N122" s="2">
        <f>H122*10</f>
        <v>30308.3</v>
      </c>
      <c r="O122" s="2">
        <f>I122*10</f>
        <v>800</v>
      </c>
      <c r="P122" s="8">
        <v>0.116478</v>
      </c>
      <c r="Q122" s="8">
        <v>1.5156799999999999</v>
      </c>
      <c r="R122" s="8">
        <v>0.19311300000000001</v>
      </c>
      <c r="S122" s="8">
        <f>Tabelle1[[#This Row],[corr_x]]/1000</f>
        <v>7.0478499999999995</v>
      </c>
      <c r="T122" s="8">
        <f>Tabelle1[[#This Row],[corr_y]]/1000</f>
        <v>16.725899999999999</v>
      </c>
      <c r="U122" s="8">
        <f>Tabelle1[[#This Row],[corr_z]]/1000</f>
        <v>3.6</v>
      </c>
      <c r="V122" s="8">
        <f>Tabelle1[[#This Row],[corr_soma_x]]/1000</f>
        <v>0.84986600000000001</v>
      </c>
      <c r="W122" s="8">
        <f>Tabelle1[[#This Row],[corr_soma_y]]/1000</f>
        <v>30.308299999999999</v>
      </c>
      <c r="X122" s="8">
        <f>Tabelle1[[#This Row],[corr_soma_z]]/1000</f>
        <v>0.8</v>
      </c>
    </row>
    <row r="123" spans="1:24" x14ac:dyDescent="0.35">
      <c r="A123" s="7" t="s">
        <v>6</v>
      </c>
      <c r="B123" s="7" t="s">
        <v>18</v>
      </c>
      <c r="C123" s="6">
        <v>13</v>
      </c>
      <c r="D123" s="2">
        <v>745.58750000000009</v>
      </c>
      <c r="E123" s="2">
        <v>1627.8150000000001</v>
      </c>
      <c r="F123" s="2">
        <v>365</v>
      </c>
      <c r="G123" s="2">
        <v>84.986599999999996</v>
      </c>
      <c r="H123" s="2">
        <v>3030.83</v>
      </c>
      <c r="I123" s="2">
        <v>80</v>
      </c>
      <c r="J123" s="2">
        <f>(D123/100)*1000</f>
        <v>7455.8750000000009</v>
      </c>
      <c r="K123" s="2">
        <f>E123*10</f>
        <v>16278.150000000001</v>
      </c>
      <c r="L123" s="2">
        <f>F123*10</f>
        <v>3650</v>
      </c>
      <c r="M123" s="2">
        <f>G123*10</f>
        <v>849.86599999999999</v>
      </c>
      <c r="N123" s="2">
        <f>H123*10</f>
        <v>30308.3</v>
      </c>
      <c r="O123" s="2">
        <f>I123*10</f>
        <v>800</v>
      </c>
      <c r="P123" s="8">
        <v>1.9539299999999999E-2</v>
      </c>
      <c r="Q123" s="8">
        <v>0.37623099999999998</v>
      </c>
      <c r="R123" s="8">
        <v>3.1808000000000003E-2</v>
      </c>
      <c r="S123" s="8">
        <f>Tabelle1[[#This Row],[corr_x]]/1000</f>
        <v>7.4558750000000007</v>
      </c>
      <c r="T123" s="8">
        <f>Tabelle1[[#This Row],[corr_y]]/1000</f>
        <v>16.27815</v>
      </c>
      <c r="U123" s="8">
        <f>Tabelle1[[#This Row],[corr_z]]/1000</f>
        <v>3.65</v>
      </c>
      <c r="V123" s="8">
        <f>Tabelle1[[#This Row],[corr_soma_x]]/1000</f>
        <v>0.84986600000000001</v>
      </c>
      <c r="W123" s="8">
        <f>Tabelle1[[#This Row],[corr_soma_y]]/1000</f>
        <v>30.308299999999999</v>
      </c>
      <c r="X123" s="8">
        <f>Tabelle1[[#This Row],[corr_soma_z]]/1000</f>
        <v>0.8</v>
      </c>
    </row>
    <row r="124" spans="1:24" x14ac:dyDescent="0.35">
      <c r="A124" s="7" t="s">
        <v>6</v>
      </c>
      <c r="B124" s="7" t="s">
        <v>18</v>
      </c>
      <c r="C124" s="6">
        <v>14</v>
      </c>
      <c r="D124" s="2">
        <v>792.85599999999999</v>
      </c>
      <c r="E124" s="2">
        <v>1563.63</v>
      </c>
      <c r="F124" s="2">
        <v>435</v>
      </c>
      <c r="G124" s="2">
        <v>84.986599999999996</v>
      </c>
      <c r="H124" s="2">
        <v>3030.83</v>
      </c>
      <c r="I124" s="2">
        <v>80</v>
      </c>
      <c r="J124" s="2">
        <f>(D124/100)*1000</f>
        <v>7928.56</v>
      </c>
      <c r="K124" s="2">
        <f>E124*10</f>
        <v>15636.300000000001</v>
      </c>
      <c r="L124" s="2">
        <f>F124*10</f>
        <v>4350</v>
      </c>
      <c r="M124" s="2">
        <f>G124*10</f>
        <v>849.86599999999999</v>
      </c>
      <c r="N124" s="2">
        <f>H124*10</f>
        <v>30308.3</v>
      </c>
      <c r="O124" s="2">
        <f>I124*10</f>
        <v>800</v>
      </c>
      <c r="P124" s="8">
        <v>8.2923900000000009E-2</v>
      </c>
      <c r="Q124" s="8">
        <v>2.6521400000000002</v>
      </c>
      <c r="R124" s="8">
        <v>0.347964</v>
      </c>
      <c r="S124" s="8">
        <f>Tabelle1[[#This Row],[corr_x]]/1000</f>
        <v>7.9285600000000001</v>
      </c>
      <c r="T124" s="8">
        <f>Tabelle1[[#This Row],[corr_y]]/1000</f>
        <v>15.6363</v>
      </c>
      <c r="U124" s="8">
        <f>Tabelle1[[#This Row],[corr_z]]/1000</f>
        <v>4.3499999999999996</v>
      </c>
      <c r="V124" s="8">
        <f>Tabelle1[[#This Row],[corr_soma_x]]/1000</f>
        <v>0.84986600000000001</v>
      </c>
      <c r="W124" s="8">
        <f>Tabelle1[[#This Row],[corr_soma_y]]/1000</f>
        <v>30.308299999999999</v>
      </c>
      <c r="X124" s="8">
        <f>Tabelle1[[#This Row],[corr_soma_z]]/1000</f>
        <v>0.8</v>
      </c>
    </row>
    <row r="125" spans="1:24" x14ac:dyDescent="0.35">
      <c r="A125" s="7" t="s">
        <v>6</v>
      </c>
      <c r="B125" s="7" t="s">
        <v>18</v>
      </c>
      <c r="C125" s="6">
        <v>15</v>
      </c>
      <c r="D125" s="2">
        <v>854.97199999999998</v>
      </c>
      <c r="E125" s="2">
        <v>1488.73</v>
      </c>
      <c r="F125" s="2">
        <v>435</v>
      </c>
      <c r="G125" s="2">
        <v>84.986599999999996</v>
      </c>
      <c r="H125" s="2">
        <v>3030.83</v>
      </c>
      <c r="I125" s="2">
        <v>80</v>
      </c>
      <c r="J125" s="2">
        <f>(D125/100)*1000</f>
        <v>8549.7200000000012</v>
      </c>
      <c r="K125" s="2">
        <f>E125*10</f>
        <v>14887.3</v>
      </c>
      <c r="L125" s="2">
        <f>F125*10</f>
        <v>4350</v>
      </c>
      <c r="M125" s="2">
        <f>G125*10</f>
        <v>849.86599999999999</v>
      </c>
      <c r="N125" s="2">
        <f>H125*10</f>
        <v>30308.3</v>
      </c>
      <c r="O125" s="2">
        <f>I125*10</f>
        <v>800</v>
      </c>
      <c r="P125" s="8">
        <v>1.5684500000000001E-2</v>
      </c>
      <c r="Q125" s="8">
        <v>1.1932700000000001</v>
      </c>
      <c r="R125" s="8">
        <v>7.065819999999999E-2</v>
      </c>
      <c r="S125" s="8">
        <f>Tabelle1[[#This Row],[corr_x]]/1000</f>
        <v>8.5497200000000007</v>
      </c>
      <c r="T125" s="8">
        <f>Tabelle1[[#This Row],[corr_y]]/1000</f>
        <v>14.8873</v>
      </c>
      <c r="U125" s="8">
        <f>Tabelle1[[#This Row],[corr_z]]/1000</f>
        <v>4.3499999999999996</v>
      </c>
      <c r="V125" s="8">
        <f>Tabelle1[[#This Row],[corr_soma_x]]/1000</f>
        <v>0.84986600000000001</v>
      </c>
      <c r="W125" s="8">
        <f>Tabelle1[[#This Row],[corr_soma_y]]/1000</f>
        <v>30.308299999999999</v>
      </c>
      <c r="X125" s="8">
        <f>Tabelle1[[#This Row],[corr_soma_z]]/1000</f>
        <v>0.8</v>
      </c>
    </row>
    <row r="126" spans="1:24" x14ac:dyDescent="0.35">
      <c r="A126" s="7" t="s">
        <v>6</v>
      </c>
      <c r="B126" s="7" t="s">
        <v>18</v>
      </c>
      <c r="C126" s="6">
        <v>16</v>
      </c>
      <c r="D126" s="2">
        <v>812.56050000000005</v>
      </c>
      <c r="E126" s="2">
        <v>1501.5500000000002</v>
      </c>
      <c r="F126" s="2">
        <v>437.5</v>
      </c>
      <c r="G126" s="2">
        <v>84.986599999999996</v>
      </c>
      <c r="H126" s="2">
        <v>3030.83</v>
      </c>
      <c r="I126" s="2">
        <v>80</v>
      </c>
      <c r="J126" s="2">
        <f>(D126/100)*1000</f>
        <v>8125.6050000000005</v>
      </c>
      <c r="K126" s="2">
        <f>E126*10</f>
        <v>15015.500000000002</v>
      </c>
      <c r="L126" s="2">
        <f>F126*10</f>
        <v>4375</v>
      </c>
      <c r="M126" s="2">
        <f>G126*10</f>
        <v>849.86599999999999</v>
      </c>
      <c r="N126" s="2">
        <f>H126*10</f>
        <v>30308.3</v>
      </c>
      <c r="O126" s="2">
        <f>I126*10</f>
        <v>800</v>
      </c>
      <c r="P126" s="8">
        <v>8.4166099999999994E-2</v>
      </c>
      <c r="Q126" s="8">
        <v>3.90306</v>
      </c>
      <c r="R126" s="8">
        <v>0.45255299999999998</v>
      </c>
      <c r="S126" s="8">
        <f>Tabelle1[[#This Row],[corr_x]]/1000</f>
        <v>8.1256050000000002</v>
      </c>
      <c r="T126" s="8">
        <f>Tabelle1[[#This Row],[corr_y]]/1000</f>
        <v>15.015500000000001</v>
      </c>
      <c r="U126" s="8">
        <f>Tabelle1[[#This Row],[corr_z]]/1000</f>
        <v>4.375</v>
      </c>
      <c r="V126" s="8">
        <f>Tabelle1[[#This Row],[corr_soma_x]]/1000</f>
        <v>0.84986600000000001</v>
      </c>
      <c r="W126" s="8">
        <f>Tabelle1[[#This Row],[corr_soma_y]]/1000</f>
        <v>30.308299999999999</v>
      </c>
      <c r="X126" s="8">
        <f>Tabelle1[[#This Row],[corr_soma_z]]/1000</f>
        <v>0.8</v>
      </c>
    </row>
    <row r="127" spans="1:24" x14ac:dyDescent="0.35">
      <c r="A127" s="7" t="s">
        <v>6</v>
      </c>
      <c r="B127" s="7" t="s">
        <v>18</v>
      </c>
      <c r="C127" s="6">
        <v>18</v>
      </c>
      <c r="D127" s="2">
        <v>827.64099999999996</v>
      </c>
      <c r="E127" s="2">
        <v>1486.37</v>
      </c>
      <c r="F127" s="2">
        <v>510</v>
      </c>
      <c r="G127" s="2">
        <v>84.986599999999996</v>
      </c>
      <c r="H127" s="2">
        <v>3030.83</v>
      </c>
      <c r="I127" s="2">
        <v>80</v>
      </c>
      <c r="J127" s="2">
        <f>(D127/100)*1000</f>
        <v>8276.41</v>
      </c>
      <c r="K127" s="2">
        <f>E127*10</f>
        <v>14863.699999999999</v>
      </c>
      <c r="L127" s="2">
        <f>F127*10</f>
        <v>5100</v>
      </c>
      <c r="M127" s="2">
        <f>G127*10</f>
        <v>849.86599999999999</v>
      </c>
      <c r="N127" s="2">
        <f>H127*10</f>
        <v>30308.3</v>
      </c>
      <c r="O127" s="2">
        <f>I127*10</f>
        <v>800</v>
      </c>
      <c r="P127" s="8">
        <v>4.34236E-2</v>
      </c>
      <c r="Q127" s="8">
        <v>0.43054199999999998</v>
      </c>
      <c r="R127" s="8">
        <v>3.61152E-2</v>
      </c>
      <c r="S127" s="8">
        <f>Tabelle1[[#This Row],[corr_x]]/1000</f>
        <v>8.2764100000000003</v>
      </c>
      <c r="T127" s="8">
        <f>Tabelle1[[#This Row],[corr_y]]/1000</f>
        <v>14.8637</v>
      </c>
      <c r="U127" s="8">
        <f>Tabelle1[[#This Row],[corr_z]]/1000</f>
        <v>5.0999999999999996</v>
      </c>
      <c r="V127" s="8">
        <f>Tabelle1[[#This Row],[corr_soma_x]]/1000</f>
        <v>0.84986600000000001</v>
      </c>
      <c r="W127" s="8">
        <f>Tabelle1[[#This Row],[corr_soma_y]]/1000</f>
        <v>30.308299999999999</v>
      </c>
      <c r="X127" s="8">
        <f>Tabelle1[[#This Row],[corr_soma_z]]/1000</f>
        <v>0.8</v>
      </c>
    </row>
    <row r="128" spans="1:24" x14ac:dyDescent="0.35">
      <c r="A128" s="7" t="s">
        <v>6</v>
      </c>
      <c r="B128" s="7" t="s">
        <v>18</v>
      </c>
      <c r="C128" s="6">
        <v>21</v>
      </c>
      <c r="D128" s="2">
        <v>1103.04</v>
      </c>
      <c r="E128" s="2">
        <v>1082.07</v>
      </c>
      <c r="F128" s="2">
        <v>580</v>
      </c>
      <c r="G128" s="2">
        <v>84.986599999999996</v>
      </c>
      <c r="H128" s="2">
        <v>3030.83</v>
      </c>
      <c r="I128" s="2">
        <v>80</v>
      </c>
      <c r="J128" s="2">
        <f>(D128/100)*1000</f>
        <v>11030.4</v>
      </c>
      <c r="K128" s="2">
        <f>E128*10</f>
        <v>10820.699999999999</v>
      </c>
      <c r="L128" s="2">
        <f>F128*10</f>
        <v>5800</v>
      </c>
      <c r="M128" s="2">
        <f>G128*10</f>
        <v>849.86599999999999</v>
      </c>
      <c r="N128" s="2">
        <f>H128*10</f>
        <v>30308.3</v>
      </c>
      <c r="O128" s="2">
        <f>I128*10</f>
        <v>800</v>
      </c>
      <c r="P128" s="8">
        <v>9.4314999999999996E-2</v>
      </c>
      <c r="Q128" s="8">
        <v>1.42723</v>
      </c>
      <c r="R128" s="8">
        <v>0.11609800000000001</v>
      </c>
      <c r="S128" s="8">
        <f>Tabelle1[[#This Row],[corr_x]]/1000</f>
        <v>11.0304</v>
      </c>
      <c r="T128" s="8">
        <f>Tabelle1[[#This Row],[corr_y]]/1000</f>
        <v>10.820699999999999</v>
      </c>
      <c r="U128" s="8">
        <f>Tabelle1[[#This Row],[corr_z]]/1000</f>
        <v>5.8</v>
      </c>
      <c r="V128" s="8">
        <f>Tabelle1[[#This Row],[corr_soma_x]]/1000</f>
        <v>0.84986600000000001</v>
      </c>
      <c r="W128" s="8">
        <f>Tabelle1[[#This Row],[corr_soma_y]]/1000</f>
        <v>30.308299999999999</v>
      </c>
      <c r="X128" s="8">
        <f>Tabelle1[[#This Row],[corr_soma_z]]/1000</f>
        <v>0.8</v>
      </c>
    </row>
    <row r="129" spans="1:24" x14ac:dyDescent="0.35">
      <c r="A129" s="7" t="s">
        <v>6</v>
      </c>
      <c r="B129" s="7" t="s">
        <v>19</v>
      </c>
      <c r="C129" s="6">
        <v>5</v>
      </c>
      <c r="D129" s="2">
        <v>1070.7849999999999</v>
      </c>
      <c r="E129" s="2">
        <v>1129.6950000000002</v>
      </c>
      <c r="F129" s="2">
        <v>567.5</v>
      </c>
      <c r="G129" s="2">
        <v>84.986599999999996</v>
      </c>
      <c r="H129" s="2">
        <v>3030.83</v>
      </c>
      <c r="I129" s="2">
        <v>80</v>
      </c>
      <c r="J129" s="2">
        <f>(D129/100)*1000</f>
        <v>10707.849999999999</v>
      </c>
      <c r="K129" s="2">
        <f>E129*10</f>
        <v>11296.95</v>
      </c>
      <c r="L129" s="2">
        <f>F129*10</f>
        <v>5675</v>
      </c>
      <c r="M129" s="2">
        <f>G129*10</f>
        <v>849.86599999999999</v>
      </c>
      <c r="N129" s="2">
        <f>H129*10</f>
        <v>30308.3</v>
      </c>
      <c r="O129" s="2">
        <f>I129*10</f>
        <v>800</v>
      </c>
      <c r="P129" s="8">
        <v>5.0771699999999996E-2</v>
      </c>
      <c r="Q129" s="8">
        <v>2.0302899999999999</v>
      </c>
      <c r="R129" s="8">
        <v>0.15983800000000001</v>
      </c>
      <c r="S129" s="8">
        <f>Tabelle1[[#This Row],[corr_x]]/1000</f>
        <v>10.707849999999999</v>
      </c>
      <c r="T129" s="8">
        <f>Tabelle1[[#This Row],[corr_y]]/1000</f>
        <v>11.296950000000001</v>
      </c>
      <c r="U129" s="8">
        <f>Tabelle1[[#This Row],[corr_z]]/1000</f>
        <v>5.6749999999999998</v>
      </c>
      <c r="V129" s="8">
        <f>Tabelle1[[#This Row],[corr_soma_x]]/1000</f>
        <v>0.84986600000000001</v>
      </c>
      <c r="W129" s="8">
        <f>Tabelle1[[#This Row],[corr_soma_y]]/1000</f>
        <v>30.308299999999999</v>
      </c>
      <c r="X129" s="8">
        <f>Tabelle1[[#This Row],[corr_soma_z]]/1000</f>
        <v>0.8</v>
      </c>
    </row>
    <row r="130" spans="1:24" x14ac:dyDescent="0.35">
      <c r="A130" s="7" t="s">
        <v>6</v>
      </c>
      <c r="B130" s="7" t="s">
        <v>18</v>
      </c>
      <c r="C130" s="6">
        <v>22</v>
      </c>
      <c r="D130" s="2">
        <v>1150.76</v>
      </c>
      <c r="E130" s="2">
        <v>1084.6199999999999</v>
      </c>
      <c r="F130" s="2">
        <v>607.5</v>
      </c>
      <c r="G130" s="2">
        <v>84.986599999999996</v>
      </c>
      <c r="H130" s="2">
        <v>3030.83</v>
      </c>
      <c r="I130" s="2">
        <v>80</v>
      </c>
      <c r="J130" s="2">
        <f>(D130/100)*1000</f>
        <v>11507.6</v>
      </c>
      <c r="K130" s="2">
        <f>E130*10</f>
        <v>10846.199999999999</v>
      </c>
      <c r="L130" s="2">
        <f>F130*10</f>
        <v>6075</v>
      </c>
      <c r="M130" s="2">
        <f>G130*10</f>
        <v>849.86599999999999</v>
      </c>
      <c r="N130" s="2">
        <f>H130*10</f>
        <v>30308.3</v>
      </c>
      <c r="O130" s="2">
        <f>I130*10</f>
        <v>800</v>
      </c>
      <c r="P130" s="8">
        <v>8.1371700000000005E-2</v>
      </c>
      <c r="Q130" s="8">
        <v>1.19367</v>
      </c>
      <c r="R130" s="8">
        <v>7.6387099999999999E-2</v>
      </c>
      <c r="S130" s="8">
        <f>Tabelle1[[#This Row],[corr_x]]/1000</f>
        <v>11.5076</v>
      </c>
      <c r="T130" s="8">
        <f>Tabelle1[[#This Row],[corr_y]]/1000</f>
        <v>10.8462</v>
      </c>
      <c r="U130" s="8">
        <f>Tabelle1[[#This Row],[corr_z]]/1000</f>
        <v>6.0750000000000002</v>
      </c>
      <c r="V130" s="8">
        <f>Tabelle1[[#This Row],[corr_soma_x]]/1000</f>
        <v>0.84986600000000001</v>
      </c>
      <c r="W130" s="8">
        <f>Tabelle1[[#This Row],[corr_soma_y]]/1000</f>
        <v>30.308299999999999</v>
      </c>
      <c r="X130" s="8">
        <f>Tabelle1[[#This Row],[corr_soma_z]]/1000</f>
        <v>0.8</v>
      </c>
    </row>
    <row r="131" spans="1:24" x14ac:dyDescent="0.35">
      <c r="A131" s="7" t="s">
        <v>6</v>
      </c>
      <c r="B131" s="7" t="s">
        <v>18</v>
      </c>
      <c r="C131" s="6">
        <v>23</v>
      </c>
      <c r="D131" s="2">
        <v>1128.19</v>
      </c>
      <c r="E131" s="2">
        <v>1101.82</v>
      </c>
      <c r="F131" s="2">
        <v>595</v>
      </c>
      <c r="G131" s="2">
        <v>84.986599999999996</v>
      </c>
      <c r="H131" s="2">
        <v>3030.83</v>
      </c>
      <c r="I131" s="2">
        <v>80</v>
      </c>
      <c r="J131" s="2">
        <f>(D131/100)*1000</f>
        <v>11281.9</v>
      </c>
      <c r="K131" s="2">
        <f>E131*10</f>
        <v>11018.199999999999</v>
      </c>
      <c r="L131" s="2">
        <f>F131*10</f>
        <v>5950</v>
      </c>
      <c r="M131" s="2">
        <f>G131*10</f>
        <v>849.86599999999999</v>
      </c>
      <c r="N131" s="2">
        <f>H131*10</f>
        <v>30308.3</v>
      </c>
      <c r="O131" s="2">
        <f>I131*10</f>
        <v>800</v>
      </c>
      <c r="P131" s="8">
        <v>0.116621</v>
      </c>
      <c r="Q131" s="8">
        <v>2.34416</v>
      </c>
      <c r="R131" s="8">
        <v>0.23223299999999999</v>
      </c>
      <c r="S131" s="8">
        <f>Tabelle1[[#This Row],[corr_x]]/1000</f>
        <v>11.2819</v>
      </c>
      <c r="T131" s="8">
        <f>Tabelle1[[#This Row],[corr_y]]/1000</f>
        <v>11.018199999999998</v>
      </c>
      <c r="U131" s="8">
        <f>Tabelle1[[#This Row],[corr_z]]/1000</f>
        <v>5.95</v>
      </c>
      <c r="V131" s="8">
        <f>Tabelle1[[#This Row],[corr_soma_x]]/1000</f>
        <v>0.84986600000000001</v>
      </c>
      <c r="W131" s="8">
        <f>Tabelle1[[#This Row],[corr_soma_y]]/1000</f>
        <v>30.308299999999999</v>
      </c>
      <c r="X131" s="8">
        <f>Tabelle1[[#This Row],[corr_soma_z]]/1000</f>
        <v>0.8</v>
      </c>
    </row>
    <row r="132" spans="1:24" x14ac:dyDescent="0.35">
      <c r="A132" s="7" t="s">
        <v>6</v>
      </c>
      <c r="B132" s="7" t="s">
        <v>18</v>
      </c>
      <c r="C132" s="6">
        <v>24</v>
      </c>
      <c r="D132" s="2">
        <v>1133.5149999999999</v>
      </c>
      <c r="E132" s="2">
        <v>1030.74</v>
      </c>
      <c r="F132" s="2">
        <v>647.5</v>
      </c>
      <c r="G132" s="2">
        <v>84.986599999999996</v>
      </c>
      <c r="H132" s="2">
        <v>3030.83</v>
      </c>
      <c r="I132" s="2">
        <v>80</v>
      </c>
      <c r="J132" s="2">
        <f>(D132/100)*1000</f>
        <v>11335.149999999998</v>
      </c>
      <c r="K132" s="2">
        <f>E132*10</f>
        <v>10307.4</v>
      </c>
      <c r="L132" s="2">
        <f>F132*10</f>
        <v>6475</v>
      </c>
      <c r="M132" s="2">
        <f>G132*10</f>
        <v>849.86599999999999</v>
      </c>
      <c r="N132" s="2">
        <f>H132*10</f>
        <v>30308.3</v>
      </c>
      <c r="O132" s="2">
        <f>I132*10</f>
        <v>800</v>
      </c>
      <c r="P132" s="8">
        <v>4.2118000000000003E-2</v>
      </c>
      <c r="Q132" s="8">
        <v>0.63538000000000006</v>
      </c>
      <c r="R132" s="8">
        <v>4.8280999999999998E-2</v>
      </c>
      <c r="S132" s="8">
        <f>Tabelle1[[#This Row],[corr_x]]/1000</f>
        <v>11.335149999999997</v>
      </c>
      <c r="T132" s="8">
        <f>Tabelle1[[#This Row],[corr_y]]/1000</f>
        <v>10.307399999999999</v>
      </c>
      <c r="U132" s="8">
        <f>Tabelle1[[#This Row],[corr_z]]/1000</f>
        <v>6.4749999999999996</v>
      </c>
      <c r="V132" s="8">
        <f>Tabelle1[[#This Row],[corr_soma_x]]/1000</f>
        <v>0.84986600000000001</v>
      </c>
      <c r="W132" s="8">
        <f>Tabelle1[[#This Row],[corr_soma_y]]/1000</f>
        <v>30.308299999999999</v>
      </c>
      <c r="X132" s="8">
        <f>Tabelle1[[#This Row],[corr_soma_z]]/1000</f>
        <v>0.8</v>
      </c>
    </row>
    <row r="133" spans="1:24" x14ac:dyDescent="0.35">
      <c r="A133" s="7" t="s">
        <v>6</v>
      </c>
      <c r="B133" s="7" t="s">
        <v>18</v>
      </c>
      <c r="C133" s="6">
        <v>25</v>
      </c>
      <c r="D133" s="2">
        <v>1134.43</v>
      </c>
      <c r="E133" s="2">
        <v>1063.1600000000001</v>
      </c>
      <c r="F133" s="2">
        <v>667.5</v>
      </c>
      <c r="G133" s="2">
        <v>84.986599999999996</v>
      </c>
      <c r="H133" s="2">
        <v>3030.83</v>
      </c>
      <c r="I133" s="2">
        <v>80</v>
      </c>
      <c r="J133" s="2">
        <f>(D133/100)*1000</f>
        <v>11344.300000000001</v>
      </c>
      <c r="K133" s="2">
        <f>E133*10</f>
        <v>10631.6</v>
      </c>
      <c r="L133" s="2">
        <f>F133*10</f>
        <v>6675</v>
      </c>
      <c r="M133" s="2">
        <f>G133*10</f>
        <v>849.86599999999999</v>
      </c>
      <c r="N133" s="2">
        <f>H133*10</f>
        <v>30308.3</v>
      </c>
      <c r="O133" s="2">
        <f>I133*10</f>
        <v>800</v>
      </c>
      <c r="P133" s="8">
        <v>4.7940400000000001E-2</v>
      </c>
      <c r="Q133" s="8">
        <v>0.56631200000000004</v>
      </c>
      <c r="R133" s="8">
        <v>5.5029800000000004E-2</v>
      </c>
      <c r="S133" s="8">
        <f>Tabelle1[[#This Row],[corr_x]]/1000</f>
        <v>11.3443</v>
      </c>
      <c r="T133" s="8">
        <f>Tabelle1[[#This Row],[corr_y]]/1000</f>
        <v>10.631600000000001</v>
      </c>
      <c r="U133" s="8">
        <f>Tabelle1[[#This Row],[corr_z]]/1000</f>
        <v>6.6749999999999998</v>
      </c>
      <c r="V133" s="8">
        <f>Tabelle1[[#This Row],[corr_soma_x]]/1000</f>
        <v>0.84986600000000001</v>
      </c>
      <c r="W133" s="8">
        <f>Tabelle1[[#This Row],[corr_soma_y]]/1000</f>
        <v>30.308299999999999</v>
      </c>
      <c r="X133" s="8">
        <f>Tabelle1[[#This Row],[corr_soma_z]]/1000</f>
        <v>0.8</v>
      </c>
    </row>
    <row r="134" spans="1:24" x14ac:dyDescent="0.35">
      <c r="A134" s="7" t="s">
        <v>6</v>
      </c>
      <c r="B134" s="7" t="s">
        <v>18</v>
      </c>
      <c r="C134" s="6">
        <v>26</v>
      </c>
      <c r="D134" s="2">
        <v>1286.905</v>
      </c>
      <c r="E134" s="2">
        <v>865.32549999999992</v>
      </c>
      <c r="F134" s="2">
        <v>692.5</v>
      </c>
      <c r="G134" s="2">
        <v>84.986599999999996</v>
      </c>
      <c r="H134" s="2">
        <v>3030.83</v>
      </c>
      <c r="I134" s="2">
        <v>80</v>
      </c>
      <c r="J134" s="2">
        <f>(D134/100)*1000</f>
        <v>12869.05</v>
      </c>
      <c r="K134" s="2">
        <f>E134*10</f>
        <v>8653.2549999999992</v>
      </c>
      <c r="L134" s="2">
        <f>F134*10</f>
        <v>6925</v>
      </c>
      <c r="M134" s="2">
        <f>G134*10</f>
        <v>849.86599999999999</v>
      </c>
      <c r="N134" s="2">
        <f>H134*10</f>
        <v>30308.3</v>
      </c>
      <c r="O134" s="2">
        <f>I134*10</f>
        <v>800</v>
      </c>
      <c r="P134" s="8">
        <v>2.1123800000000002E-2</v>
      </c>
      <c r="Q134" s="8">
        <v>1.28888</v>
      </c>
      <c r="R134" s="8">
        <v>0.13608700000000001</v>
      </c>
      <c r="S134" s="8">
        <f>Tabelle1[[#This Row],[corr_x]]/1000</f>
        <v>12.86905</v>
      </c>
      <c r="T134" s="8">
        <f>Tabelle1[[#This Row],[corr_y]]/1000</f>
        <v>8.6532549999999997</v>
      </c>
      <c r="U134" s="8">
        <f>Tabelle1[[#This Row],[corr_z]]/1000</f>
        <v>6.9249999999999998</v>
      </c>
      <c r="V134" s="8">
        <f>Tabelle1[[#This Row],[corr_soma_x]]/1000</f>
        <v>0.84986600000000001</v>
      </c>
      <c r="W134" s="8">
        <f>Tabelle1[[#This Row],[corr_soma_y]]/1000</f>
        <v>30.308299999999999</v>
      </c>
      <c r="X134" s="8">
        <f>Tabelle1[[#This Row],[corr_soma_z]]/1000</f>
        <v>0.8</v>
      </c>
    </row>
    <row r="135" spans="1:24" x14ac:dyDescent="0.35">
      <c r="A135" s="7" t="s">
        <v>6</v>
      </c>
      <c r="B135" s="7" t="s">
        <v>18</v>
      </c>
      <c r="C135" s="6">
        <v>27</v>
      </c>
      <c r="D135" s="2">
        <v>1209.665</v>
      </c>
      <c r="E135" s="2">
        <v>928.95350000000008</v>
      </c>
      <c r="F135" s="2">
        <v>692.5</v>
      </c>
      <c r="G135" s="2">
        <v>84.986599999999996</v>
      </c>
      <c r="H135" s="2">
        <v>3030.83</v>
      </c>
      <c r="I135" s="2">
        <v>80</v>
      </c>
      <c r="J135" s="2">
        <f>(D135/100)*1000</f>
        <v>12096.65</v>
      </c>
      <c r="K135" s="2">
        <f>E135*10</f>
        <v>9289.5349999999999</v>
      </c>
      <c r="L135" s="2">
        <f>F135*10</f>
        <v>6925</v>
      </c>
      <c r="M135" s="2">
        <f>G135*10</f>
        <v>849.86599999999999</v>
      </c>
      <c r="N135" s="2">
        <f>H135*10</f>
        <v>30308.3</v>
      </c>
      <c r="O135" s="2">
        <f>I135*10</f>
        <v>800</v>
      </c>
      <c r="P135" s="8">
        <v>3.1873399999999996E-2</v>
      </c>
      <c r="Q135" s="8">
        <v>1.4176600000000001</v>
      </c>
      <c r="R135" s="8">
        <v>0.197599</v>
      </c>
      <c r="S135" s="8">
        <f>Tabelle1[[#This Row],[corr_x]]/1000</f>
        <v>12.09665</v>
      </c>
      <c r="T135" s="8">
        <f>Tabelle1[[#This Row],[corr_y]]/1000</f>
        <v>9.289534999999999</v>
      </c>
      <c r="U135" s="8">
        <f>Tabelle1[[#This Row],[corr_z]]/1000</f>
        <v>6.9249999999999998</v>
      </c>
      <c r="V135" s="8">
        <f>Tabelle1[[#This Row],[corr_soma_x]]/1000</f>
        <v>0.84986600000000001</v>
      </c>
      <c r="W135" s="8">
        <f>Tabelle1[[#This Row],[corr_soma_y]]/1000</f>
        <v>30.308299999999999</v>
      </c>
      <c r="X135" s="8">
        <f>Tabelle1[[#This Row],[corr_soma_z]]/1000</f>
        <v>0.8</v>
      </c>
    </row>
    <row r="136" spans="1:24" x14ac:dyDescent="0.35">
      <c r="A136" s="7" t="s">
        <v>6</v>
      </c>
      <c r="B136" s="7" t="s">
        <v>18</v>
      </c>
      <c r="C136" s="6">
        <v>28</v>
      </c>
      <c r="D136" s="2">
        <v>1225.8899999999999</v>
      </c>
      <c r="E136" s="2">
        <v>894.47949999999992</v>
      </c>
      <c r="F136" s="2">
        <v>697.5</v>
      </c>
      <c r="G136" s="2">
        <v>84.986599999999996</v>
      </c>
      <c r="H136" s="2">
        <v>3030.83</v>
      </c>
      <c r="I136" s="2">
        <v>80</v>
      </c>
      <c r="J136" s="2">
        <f>(D136/100)*1000</f>
        <v>12258.9</v>
      </c>
      <c r="K136" s="2">
        <f>E136*10</f>
        <v>8944.7949999999983</v>
      </c>
      <c r="L136" s="2">
        <f>F136*10</f>
        <v>6975</v>
      </c>
      <c r="M136" s="2">
        <f>G136*10</f>
        <v>849.86599999999999</v>
      </c>
      <c r="N136" s="2">
        <f>H136*10</f>
        <v>30308.3</v>
      </c>
      <c r="O136" s="2">
        <f>I136*10</f>
        <v>800</v>
      </c>
      <c r="P136" s="8">
        <v>3.8470499999999998E-2</v>
      </c>
      <c r="Q136" s="8">
        <v>1.8378299999999999</v>
      </c>
      <c r="R136" s="8">
        <v>0.191024</v>
      </c>
      <c r="S136" s="8">
        <f>Tabelle1[[#This Row],[corr_x]]/1000</f>
        <v>12.258899999999999</v>
      </c>
      <c r="T136" s="8">
        <f>Tabelle1[[#This Row],[corr_y]]/1000</f>
        <v>8.9447949999999974</v>
      </c>
      <c r="U136" s="8">
        <f>Tabelle1[[#This Row],[corr_z]]/1000</f>
        <v>6.9749999999999996</v>
      </c>
      <c r="V136" s="8">
        <f>Tabelle1[[#This Row],[corr_soma_x]]/1000</f>
        <v>0.84986600000000001</v>
      </c>
      <c r="W136" s="8">
        <f>Tabelle1[[#This Row],[corr_soma_y]]/1000</f>
        <v>30.308299999999999</v>
      </c>
      <c r="X136" s="8">
        <f>Tabelle1[[#This Row],[corr_soma_z]]/1000</f>
        <v>0.8</v>
      </c>
    </row>
    <row r="137" spans="1:24" x14ac:dyDescent="0.35">
      <c r="A137" s="7" t="s">
        <v>6</v>
      </c>
      <c r="B137" s="7" t="s">
        <v>18</v>
      </c>
      <c r="C137" s="6">
        <v>29</v>
      </c>
      <c r="D137" s="2">
        <v>1275.6600000000001</v>
      </c>
      <c r="E137" s="2">
        <v>843.08699999999999</v>
      </c>
      <c r="F137" s="2">
        <v>700</v>
      </c>
      <c r="G137" s="2">
        <v>84.986599999999996</v>
      </c>
      <c r="H137" s="2">
        <v>3030.83</v>
      </c>
      <c r="I137" s="2">
        <v>80</v>
      </c>
      <c r="J137" s="2">
        <f>(D137/100)*1000</f>
        <v>12756.6</v>
      </c>
      <c r="K137" s="2">
        <f>E137*10</f>
        <v>8430.869999999999</v>
      </c>
      <c r="L137" s="2">
        <f>F137*10</f>
        <v>7000</v>
      </c>
      <c r="M137" s="2">
        <f>G137*10</f>
        <v>849.86599999999999</v>
      </c>
      <c r="N137" s="2">
        <f>H137*10</f>
        <v>30308.3</v>
      </c>
      <c r="O137" s="2">
        <f>I137*10</f>
        <v>800</v>
      </c>
      <c r="P137" s="8">
        <v>7.0712499999999998E-2</v>
      </c>
      <c r="Q137" s="8">
        <v>1.5304</v>
      </c>
      <c r="R137" s="8">
        <v>0.12959799999999999</v>
      </c>
      <c r="S137" s="8">
        <f>Tabelle1[[#This Row],[corr_x]]/1000</f>
        <v>12.756600000000001</v>
      </c>
      <c r="T137" s="8">
        <f>Tabelle1[[#This Row],[corr_y]]/1000</f>
        <v>8.4308699999999988</v>
      </c>
      <c r="U137" s="8">
        <f>Tabelle1[[#This Row],[corr_z]]/1000</f>
        <v>7</v>
      </c>
      <c r="V137" s="8">
        <f>Tabelle1[[#This Row],[corr_soma_x]]/1000</f>
        <v>0.84986600000000001</v>
      </c>
      <c r="W137" s="8">
        <f>Tabelle1[[#This Row],[corr_soma_y]]/1000</f>
        <v>30.308299999999999</v>
      </c>
      <c r="X137" s="8">
        <f>Tabelle1[[#This Row],[corr_soma_z]]/1000</f>
        <v>0.8</v>
      </c>
    </row>
    <row r="138" spans="1:24" x14ac:dyDescent="0.35">
      <c r="A138" s="7" t="s">
        <v>6</v>
      </c>
      <c r="B138" s="7" t="s">
        <v>19</v>
      </c>
      <c r="C138" s="6">
        <v>6</v>
      </c>
      <c r="D138" s="2">
        <v>1258.635</v>
      </c>
      <c r="E138" s="2">
        <v>864.7</v>
      </c>
      <c r="F138" s="2">
        <v>707.5</v>
      </c>
      <c r="G138" s="2">
        <v>84.986599999999996</v>
      </c>
      <c r="H138" s="2">
        <v>3030.83</v>
      </c>
      <c r="I138" s="2">
        <v>80</v>
      </c>
      <c r="J138" s="2">
        <f>(D138/100)*1000</f>
        <v>12586.35</v>
      </c>
      <c r="K138" s="2">
        <f>E138*10</f>
        <v>8647</v>
      </c>
      <c r="L138" s="2">
        <f>F138*10</f>
        <v>7075</v>
      </c>
      <c r="M138" s="2">
        <f>G138*10</f>
        <v>849.86599999999999</v>
      </c>
      <c r="N138" s="2">
        <f>H138*10</f>
        <v>30308.3</v>
      </c>
      <c r="O138" s="2">
        <f>I138*10</f>
        <v>800</v>
      </c>
      <c r="P138" s="8">
        <v>1.7646199999999997E-2</v>
      </c>
      <c r="Q138" s="8">
        <v>1.38856</v>
      </c>
      <c r="R138" s="8">
        <v>0.19240099999999999</v>
      </c>
      <c r="S138" s="8">
        <f>Tabelle1[[#This Row],[corr_x]]/1000</f>
        <v>12.586349999999999</v>
      </c>
      <c r="T138" s="8">
        <f>Tabelle1[[#This Row],[corr_y]]/1000</f>
        <v>8.6470000000000002</v>
      </c>
      <c r="U138" s="8">
        <f>Tabelle1[[#This Row],[corr_z]]/1000</f>
        <v>7.0750000000000002</v>
      </c>
      <c r="V138" s="8">
        <f>Tabelle1[[#This Row],[corr_soma_x]]/1000</f>
        <v>0.84986600000000001</v>
      </c>
      <c r="W138" s="8">
        <f>Tabelle1[[#This Row],[corr_soma_y]]/1000</f>
        <v>30.308299999999999</v>
      </c>
      <c r="X138" s="8">
        <f>Tabelle1[[#This Row],[corr_soma_z]]/1000</f>
        <v>0.8</v>
      </c>
    </row>
    <row r="139" spans="1:24" x14ac:dyDescent="0.35">
      <c r="A139" s="7" t="s">
        <v>6</v>
      </c>
      <c r="B139" s="7" t="s">
        <v>18</v>
      </c>
      <c r="C139" s="6">
        <v>30</v>
      </c>
      <c r="D139" s="2">
        <v>1279.575</v>
      </c>
      <c r="E139" s="2">
        <v>813.23299999999995</v>
      </c>
      <c r="F139" s="2">
        <v>752.5</v>
      </c>
      <c r="G139" s="2">
        <v>84.986599999999996</v>
      </c>
      <c r="H139" s="2">
        <v>3030.83</v>
      </c>
      <c r="I139" s="2">
        <v>80</v>
      </c>
      <c r="J139" s="2">
        <f>(D139/100)*1000</f>
        <v>12795.75</v>
      </c>
      <c r="K139" s="2">
        <f>E139*10</f>
        <v>8132.33</v>
      </c>
      <c r="L139" s="2">
        <f>F139*10</f>
        <v>7525</v>
      </c>
      <c r="M139" s="2">
        <f>G139*10</f>
        <v>849.86599999999999</v>
      </c>
      <c r="N139" s="2">
        <f>H139*10</f>
        <v>30308.3</v>
      </c>
      <c r="O139" s="2">
        <f>I139*10</f>
        <v>800</v>
      </c>
      <c r="P139" s="8">
        <v>8.1217499999999998E-2</v>
      </c>
      <c r="Q139" s="8">
        <v>0.91291100000000003</v>
      </c>
      <c r="R139" s="8">
        <v>6.5507300000000004E-2</v>
      </c>
      <c r="S139" s="8">
        <f>Tabelle1[[#This Row],[corr_x]]/1000</f>
        <v>12.79575</v>
      </c>
      <c r="T139" s="8">
        <f>Tabelle1[[#This Row],[corr_y]]/1000</f>
        <v>8.1323299999999996</v>
      </c>
      <c r="U139" s="8">
        <f>Tabelle1[[#This Row],[corr_z]]/1000</f>
        <v>7.5250000000000004</v>
      </c>
      <c r="V139" s="8">
        <f>Tabelle1[[#This Row],[corr_soma_x]]/1000</f>
        <v>0.84986600000000001</v>
      </c>
      <c r="W139" s="8">
        <f>Tabelle1[[#This Row],[corr_soma_y]]/1000</f>
        <v>30.308299999999999</v>
      </c>
      <c r="X139" s="8">
        <f>Tabelle1[[#This Row],[corr_soma_z]]/1000</f>
        <v>0.8</v>
      </c>
    </row>
    <row r="140" spans="1:24" x14ac:dyDescent="0.35">
      <c r="A140" s="7" t="s">
        <v>6</v>
      </c>
      <c r="B140" s="7" t="s">
        <v>18</v>
      </c>
      <c r="C140" s="6">
        <v>31</v>
      </c>
      <c r="D140" s="2">
        <v>1358.4</v>
      </c>
      <c r="E140" s="2">
        <v>714.29100000000005</v>
      </c>
      <c r="F140" s="2">
        <v>770</v>
      </c>
      <c r="G140" s="2">
        <v>84.986599999999996</v>
      </c>
      <c r="H140" s="2">
        <v>3030.83</v>
      </c>
      <c r="I140" s="2">
        <v>80</v>
      </c>
      <c r="J140" s="2">
        <f>(D140/100)*1000</f>
        <v>13584.000000000002</v>
      </c>
      <c r="K140" s="2">
        <f>E140*10</f>
        <v>7142.9100000000008</v>
      </c>
      <c r="L140" s="2">
        <f>F140*10</f>
        <v>7700</v>
      </c>
      <c r="M140" s="2">
        <f>G140*10</f>
        <v>849.86599999999999</v>
      </c>
      <c r="N140" s="2">
        <f>H140*10</f>
        <v>30308.3</v>
      </c>
      <c r="O140" s="2">
        <f>I140*10</f>
        <v>800</v>
      </c>
      <c r="P140" s="8">
        <v>8.2447500000000007E-2</v>
      </c>
      <c r="Q140" s="8">
        <v>0.53605100000000006</v>
      </c>
      <c r="R140" s="8">
        <v>4.3760899999999998E-2</v>
      </c>
      <c r="S140" s="8">
        <f>Tabelle1[[#This Row],[corr_x]]/1000</f>
        <v>13.584000000000001</v>
      </c>
      <c r="T140" s="8">
        <f>Tabelle1[[#This Row],[corr_y]]/1000</f>
        <v>7.1429100000000005</v>
      </c>
      <c r="U140" s="8">
        <f>Tabelle1[[#This Row],[corr_z]]/1000</f>
        <v>7.7</v>
      </c>
      <c r="V140" s="8">
        <f>Tabelle1[[#This Row],[corr_soma_x]]/1000</f>
        <v>0.84986600000000001</v>
      </c>
      <c r="W140" s="8">
        <f>Tabelle1[[#This Row],[corr_soma_y]]/1000</f>
        <v>30.308299999999999</v>
      </c>
      <c r="X140" s="8">
        <f>Tabelle1[[#This Row],[corr_soma_z]]/1000</f>
        <v>0.8</v>
      </c>
    </row>
    <row r="141" spans="1:24" x14ac:dyDescent="0.35">
      <c r="A141" s="7" t="s">
        <v>6</v>
      </c>
      <c r="B141" s="7" t="s">
        <v>18</v>
      </c>
      <c r="C141" s="6">
        <v>32</v>
      </c>
      <c r="D141" s="2">
        <v>1399.06</v>
      </c>
      <c r="E141" s="2">
        <v>677.60599999999999</v>
      </c>
      <c r="F141" s="2">
        <v>767.5</v>
      </c>
      <c r="G141" s="2">
        <v>84.986599999999996</v>
      </c>
      <c r="H141" s="2">
        <v>3030.83</v>
      </c>
      <c r="I141" s="2">
        <v>80</v>
      </c>
      <c r="J141" s="2">
        <f>(D141/100)*1000</f>
        <v>13990.599999999999</v>
      </c>
      <c r="K141" s="2">
        <f>E141*10</f>
        <v>6776.0599999999995</v>
      </c>
      <c r="L141" s="2">
        <f>F141*10</f>
        <v>7675</v>
      </c>
      <c r="M141" s="2">
        <f>G141*10</f>
        <v>849.86599999999999</v>
      </c>
      <c r="N141" s="2">
        <f>H141*10</f>
        <v>30308.3</v>
      </c>
      <c r="O141" s="2">
        <f>I141*10</f>
        <v>800</v>
      </c>
      <c r="P141" s="8">
        <v>2.75625E-2</v>
      </c>
      <c r="Q141" s="8">
        <v>0.25774600000000003</v>
      </c>
      <c r="R141" s="8">
        <v>2.2462900000000001E-2</v>
      </c>
      <c r="S141" s="8">
        <f>Tabelle1[[#This Row],[corr_x]]/1000</f>
        <v>13.990599999999999</v>
      </c>
      <c r="T141" s="8">
        <f>Tabelle1[[#This Row],[corr_y]]/1000</f>
        <v>6.7760599999999993</v>
      </c>
      <c r="U141" s="8">
        <f>Tabelle1[[#This Row],[corr_z]]/1000</f>
        <v>7.6749999999999998</v>
      </c>
      <c r="V141" s="8">
        <f>Tabelle1[[#This Row],[corr_soma_x]]/1000</f>
        <v>0.84986600000000001</v>
      </c>
      <c r="W141" s="8">
        <f>Tabelle1[[#This Row],[corr_soma_y]]/1000</f>
        <v>30.308299999999999</v>
      </c>
      <c r="X141" s="8">
        <f>Tabelle1[[#This Row],[corr_soma_z]]/1000</f>
        <v>0.8</v>
      </c>
    </row>
    <row r="142" spans="1:24" x14ac:dyDescent="0.35">
      <c r="A142" s="7" t="s">
        <v>6</v>
      </c>
      <c r="B142" s="7" t="s">
        <v>18</v>
      </c>
      <c r="C142" s="6">
        <v>33</v>
      </c>
      <c r="D142" s="2">
        <v>1458.6399999999999</v>
      </c>
      <c r="E142" s="2">
        <v>552.14799999999991</v>
      </c>
      <c r="F142" s="2">
        <v>852.5</v>
      </c>
      <c r="G142" s="2">
        <v>84.986599999999996</v>
      </c>
      <c r="H142" s="2">
        <v>3030.83</v>
      </c>
      <c r="I142" s="2">
        <v>80</v>
      </c>
      <c r="J142" s="2">
        <f>(D142/100)*1000</f>
        <v>14586.4</v>
      </c>
      <c r="K142" s="2">
        <f>E142*10</f>
        <v>5521.48</v>
      </c>
      <c r="L142" s="2">
        <f>F142*10</f>
        <v>8525</v>
      </c>
      <c r="M142" s="2">
        <f>G142*10</f>
        <v>849.86599999999999</v>
      </c>
      <c r="N142" s="2">
        <f>H142*10</f>
        <v>30308.3</v>
      </c>
      <c r="O142" s="2">
        <f>I142*10</f>
        <v>800</v>
      </c>
      <c r="P142" s="8">
        <v>3.6584999999999999E-2</v>
      </c>
      <c r="Q142" s="8">
        <v>0.42874200000000001</v>
      </c>
      <c r="R142" s="8">
        <v>3.9448999999999998E-2</v>
      </c>
      <c r="S142" s="8">
        <f>Tabelle1[[#This Row],[corr_x]]/1000</f>
        <v>14.586399999999999</v>
      </c>
      <c r="T142" s="8">
        <f>Tabelle1[[#This Row],[corr_y]]/1000</f>
        <v>5.5214799999999995</v>
      </c>
      <c r="U142" s="8">
        <f>Tabelle1[[#This Row],[corr_z]]/1000</f>
        <v>8.5250000000000004</v>
      </c>
      <c r="V142" s="8">
        <f>Tabelle1[[#This Row],[corr_soma_x]]/1000</f>
        <v>0.84986600000000001</v>
      </c>
      <c r="W142" s="8">
        <f>Tabelle1[[#This Row],[corr_soma_y]]/1000</f>
        <v>30.308299999999999</v>
      </c>
      <c r="X142" s="8">
        <f>Tabelle1[[#This Row],[corr_soma_z]]/1000</f>
        <v>0.8</v>
      </c>
    </row>
    <row r="143" spans="1:24" x14ac:dyDescent="0.35">
      <c r="A143" s="7" t="s">
        <v>6</v>
      </c>
      <c r="B143" s="7" t="s">
        <v>18</v>
      </c>
      <c r="C143" s="6">
        <v>34</v>
      </c>
      <c r="D143" s="2">
        <v>1508.3</v>
      </c>
      <c r="E143" s="2">
        <v>390.27499999999998</v>
      </c>
      <c r="F143" s="2">
        <v>880</v>
      </c>
      <c r="G143" s="2">
        <v>84.986599999999996</v>
      </c>
      <c r="H143" s="2">
        <v>3030.83</v>
      </c>
      <c r="I143" s="2">
        <v>80</v>
      </c>
      <c r="J143" s="2">
        <f>(D143/100)*1000</f>
        <v>15083</v>
      </c>
      <c r="K143" s="2">
        <f>E143*10</f>
        <v>3902.75</v>
      </c>
      <c r="L143" s="2">
        <f>F143*10</f>
        <v>8800</v>
      </c>
      <c r="M143" s="2">
        <f>G143*10</f>
        <v>849.86599999999999</v>
      </c>
      <c r="N143" s="2">
        <f>H143*10</f>
        <v>30308.3</v>
      </c>
      <c r="O143" s="2">
        <f>I143*10</f>
        <v>800</v>
      </c>
      <c r="P143" s="8">
        <v>0.14751500000000001</v>
      </c>
      <c r="Q143" s="8">
        <v>2.2004000000000001</v>
      </c>
      <c r="R143" s="8">
        <v>0.27647500000000003</v>
      </c>
      <c r="S143" s="8">
        <f>Tabelle1[[#This Row],[corr_x]]/1000</f>
        <v>15.083</v>
      </c>
      <c r="T143" s="8">
        <f>Tabelle1[[#This Row],[corr_y]]/1000</f>
        <v>3.9027500000000002</v>
      </c>
      <c r="U143" s="8">
        <f>Tabelle1[[#This Row],[corr_z]]/1000</f>
        <v>8.8000000000000007</v>
      </c>
      <c r="V143" s="8">
        <f>Tabelle1[[#This Row],[corr_soma_x]]/1000</f>
        <v>0.84986600000000001</v>
      </c>
      <c r="W143" s="8">
        <f>Tabelle1[[#This Row],[corr_soma_y]]/1000</f>
        <v>30.308299999999999</v>
      </c>
      <c r="X143" s="8">
        <f>Tabelle1[[#This Row],[corr_soma_z]]/1000</f>
        <v>0.8</v>
      </c>
    </row>
    <row r="144" spans="1:24" x14ac:dyDescent="0.35">
      <c r="A144" s="7" t="s">
        <v>6</v>
      </c>
      <c r="B144" s="7" t="s">
        <v>18</v>
      </c>
      <c r="C144" s="6">
        <v>35</v>
      </c>
      <c r="D144" s="2">
        <v>1473</v>
      </c>
      <c r="E144" s="2">
        <v>445.80799999999999</v>
      </c>
      <c r="F144" s="2">
        <v>937.5</v>
      </c>
      <c r="G144" s="2">
        <v>84.986599999999996</v>
      </c>
      <c r="H144" s="2">
        <v>3030.83</v>
      </c>
      <c r="I144" s="2">
        <v>80</v>
      </c>
      <c r="J144" s="2">
        <f>(D144/100)*1000</f>
        <v>14730</v>
      </c>
      <c r="K144" s="2">
        <f>E144*10</f>
        <v>4458.08</v>
      </c>
      <c r="L144" s="2">
        <f>F144*10</f>
        <v>9375</v>
      </c>
      <c r="M144" s="2">
        <f>G144*10</f>
        <v>849.86599999999999</v>
      </c>
      <c r="N144" s="2">
        <f>H144*10</f>
        <v>30308.3</v>
      </c>
      <c r="O144" s="2">
        <f>I144*10</f>
        <v>800</v>
      </c>
      <c r="P144" s="8">
        <v>1.7970400000000001E-2</v>
      </c>
      <c r="Q144" s="8">
        <v>1.76257</v>
      </c>
      <c r="R144" s="8">
        <v>0.19134300000000001</v>
      </c>
      <c r="S144" s="8">
        <f>Tabelle1[[#This Row],[corr_x]]/1000</f>
        <v>14.73</v>
      </c>
      <c r="T144" s="8">
        <f>Tabelle1[[#This Row],[corr_y]]/1000</f>
        <v>4.4580799999999998</v>
      </c>
      <c r="U144" s="8">
        <f>Tabelle1[[#This Row],[corr_z]]/1000</f>
        <v>9.375</v>
      </c>
      <c r="V144" s="8">
        <f>Tabelle1[[#This Row],[corr_soma_x]]/1000</f>
        <v>0.84986600000000001</v>
      </c>
      <c r="W144" s="8">
        <f>Tabelle1[[#This Row],[corr_soma_y]]/1000</f>
        <v>30.308299999999999</v>
      </c>
      <c r="X144" s="8">
        <f>Tabelle1[[#This Row],[corr_soma_z]]/1000</f>
        <v>0.8</v>
      </c>
    </row>
    <row r="145" spans="1:24" x14ac:dyDescent="0.35">
      <c r="A145" s="7" t="s">
        <v>10</v>
      </c>
      <c r="B145" s="7" t="s">
        <v>18</v>
      </c>
      <c r="C145" s="6">
        <v>1</v>
      </c>
      <c r="D145" s="2">
        <v>9153.59</v>
      </c>
      <c r="E145" s="2">
        <v>5029.1400000000003</v>
      </c>
      <c r="F145" s="2">
        <v>3100</v>
      </c>
      <c r="G145" s="2">
        <v>4298.5200000000004</v>
      </c>
      <c r="H145" s="2">
        <v>7796.4</v>
      </c>
      <c r="I145" s="2">
        <v>350</v>
      </c>
      <c r="J145" s="2">
        <v>9153.59</v>
      </c>
      <c r="K145" s="2">
        <v>5029.1400000000003</v>
      </c>
      <c r="L145" s="2">
        <v>3100</v>
      </c>
      <c r="M145" s="2">
        <v>4298.5200000000004</v>
      </c>
      <c r="N145" s="2">
        <v>7796.4</v>
      </c>
      <c r="O145" s="2">
        <v>350</v>
      </c>
      <c r="P145" s="8">
        <v>6.3891400000000001E-2</v>
      </c>
      <c r="Q145" s="8">
        <v>1.1929399999999999</v>
      </c>
      <c r="R145" s="8">
        <v>6.9874699999999998E-2</v>
      </c>
      <c r="S145" s="8">
        <f>Tabelle1[[#This Row],[corr_x]]/1000</f>
        <v>9.1535899999999994</v>
      </c>
      <c r="T145" s="8">
        <f>Tabelle1[[#This Row],[corr_y]]/1000</f>
        <v>5.0291399999999999</v>
      </c>
      <c r="U145" s="8">
        <f>Tabelle1[[#This Row],[corr_z]]/1000</f>
        <v>3.1</v>
      </c>
      <c r="V145" s="8">
        <f>Tabelle1[[#This Row],[corr_soma_x]]/1000</f>
        <v>4.2985200000000008</v>
      </c>
      <c r="W145" s="8">
        <f>Tabelle1[[#This Row],[corr_soma_y]]/1000</f>
        <v>7.7963999999999993</v>
      </c>
      <c r="X145" s="8">
        <f>Tabelle1[[#This Row],[corr_soma_z]]/1000</f>
        <v>0.35</v>
      </c>
    </row>
    <row r="146" spans="1:24" x14ac:dyDescent="0.35">
      <c r="A146" s="7" t="s">
        <v>10</v>
      </c>
      <c r="B146" s="7" t="s">
        <v>18</v>
      </c>
      <c r="C146" s="6">
        <v>2</v>
      </c>
      <c r="D146" s="2">
        <v>7303.17</v>
      </c>
      <c r="E146" s="2">
        <v>2830.42</v>
      </c>
      <c r="F146" s="2">
        <v>4375</v>
      </c>
      <c r="G146" s="2">
        <v>4298.5200000000004</v>
      </c>
      <c r="H146" s="2">
        <v>7796.4</v>
      </c>
      <c r="I146" s="2">
        <v>350</v>
      </c>
      <c r="J146" s="2">
        <v>7303.17</v>
      </c>
      <c r="K146" s="2">
        <v>2830.42</v>
      </c>
      <c r="L146" s="2">
        <v>4375</v>
      </c>
      <c r="M146" s="2">
        <v>4298.5200000000004</v>
      </c>
      <c r="N146" s="2">
        <v>7796.4</v>
      </c>
      <c r="O146" s="2">
        <v>350</v>
      </c>
      <c r="P146" s="8">
        <v>6.9476300000000005E-2</v>
      </c>
      <c r="Q146" s="8">
        <v>2.36809</v>
      </c>
      <c r="R146" s="8">
        <v>0.19966</v>
      </c>
      <c r="S146" s="8">
        <f>Tabelle1[[#This Row],[corr_x]]/1000</f>
        <v>7.3031699999999997</v>
      </c>
      <c r="T146" s="8">
        <f>Tabelle1[[#This Row],[corr_y]]/1000</f>
        <v>2.8304200000000002</v>
      </c>
      <c r="U146" s="8">
        <f>Tabelle1[[#This Row],[corr_z]]/1000</f>
        <v>4.375</v>
      </c>
      <c r="V146" s="8">
        <f>Tabelle1[[#This Row],[corr_soma_x]]/1000</f>
        <v>4.2985200000000008</v>
      </c>
      <c r="W146" s="8">
        <f>Tabelle1[[#This Row],[corr_soma_y]]/1000</f>
        <v>7.7963999999999993</v>
      </c>
      <c r="X146" s="8">
        <f>Tabelle1[[#This Row],[corr_soma_z]]/1000</f>
        <v>0.35</v>
      </c>
    </row>
    <row r="147" spans="1:24" x14ac:dyDescent="0.35">
      <c r="A147" s="7" t="s">
        <v>10</v>
      </c>
      <c r="B147" s="7" t="s">
        <v>19</v>
      </c>
      <c r="C147" s="6">
        <v>1</v>
      </c>
      <c r="D147" s="2">
        <v>7117.73</v>
      </c>
      <c r="E147" s="2">
        <v>2885.38</v>
      </c>
      <c r="F147" s="2">
        <v>5375</v>
      </c>
      <c r="G147" s="2">
        <v>4298.5200000000004</v>
      </c>
      <c r="H147" s="2">
        <v>7796.4</v>
      </c>
      <c r="I147" s="2">
        <v>350</v>
      </c>
      <c r="J147" s="2">
        <v>7117.73</v>
      </c>
      <c r="K147" s="2">
        <v>2885.38</v>
      </c>
      <c r="L147" s="2">
        <v>5375</v>
      </c>
      <c r="M147" s="2">
        <v>4298.5200000000004</v>
      </c>
      <c r="N147" s="2">
        <v>7796.4</v>
      </c>
      <c r="O147" s="2">
        <v>350</v>
      </c>
      <c r="P147" s="8">
        <v>8.3020700000000003E-2</v>
      </c>
      <c r="Q147" s="8">
        <v>4.2094800000000001</v>
      </c>
      <c r="R147" s="8">
        <v>0.39450800000000003</v>
      </c>
      <c r="S147" s="8">
        <f>Tabelle1[[#This Row],[corr_x]]/1000</f>
        <v>7.1177299999999999</v>
      </c>
      <c r="T147" s="8">
        <f>Tabelle1[[#This Row],[corr_y]]/1000</f>
        <v>2.8853800000000001</v>
      </c>
      <c r="U147" s="8">
        <f>Tabelle1[[#This Row],[corr_z]]/1000</f>
        <v>5.375</v>
      </c>
      <c r="V147" s="8">
        <f>Tabelle1[[#This Row],[corr_soma_x]]/1000</f>
        <v>4.2985200000000008</v>
      </c>
      <c r="W147" s="8">
        <f>Tabelle1[[#This Row],[corr_soma_y]]/1000</f>
        <v>7.7963999999999993</v>
      </c>
      <c r="X147" s="8">
        <f>Tabelle1[[#This Row],[corr_soma_z]]/1000</f>
        <v>0.35</v>
      </c>
    </row>
    <row r="148" spans="1:24" x14ac:dyDescent="0.35">
      <c r="A148" s="7" t="s">
        <v>10</v>
      </c>
      <c r="B148" s="7" t="s">
        <v>18</v>
      </c>
      <c r="C148" s="6">
        <v>3</v>
      </c>
      <c r="D148" s="2">
        <v>7339.52</v>
      </c>
      <c r="E148" s="2">
        <v>2058.58</v>
      </c>
      <c r="F148" s="2">
        <v>5550</v>
      </c>
      <c r="G148" s="2">
        <v>4298.5200000000004</v>
      </c>
      <c r="H148" s="2">
        <v>7796.4</v>
      </c>
      <c r="I148" s="2">
        <v>350</v>
      </c>
      <c r="J148" s="2">
        <v>7339.52</v>
      </c>
      <c r="K148" s="2">
        <v>2058.58</v>
      </c>
      <c r="L148" s="2">
        <v>5550</v>
      </c>
      <c r="M148" s="2">
        <v>4298.5200000000004</v>
      </c>
      <c r="N148" s="2">
        <v>7796.4</v>
      </c>
      <c r="O148" s="2">
        <v>350</v>
      </c>
      <c r="P148" s="8">
        <v>0.11623699999999999</v>
      </c>
      <c r="Q148" s="8">
        <v>3.4255900000000001</v>
      </c>
      <c r="R148" s="8">
        <v>0.25644299999999998</v>
      </c>
      <c r="S148" s="8">
        <f>Tabelle1[[#This Row],[corr_x]]/1000</f>
        <v>7.3395200000000003</v>
      </c>
      <c r="T148" s="8">
        <f>Tabelle1[[#This Row],[corr_y]]/1000</f>
        <v>2.0585800000000001</v>
      </c>
      <c r="U148" s="8">
        <f>Tabelle1[[#This Row],[corr_z]]/1000</f>
        <v>5.55</v>
      </c>
      <c r="V148" s="8">
        <f>Tabelle1[[#This Row],[corr_soma_x]]/1000</f>
        <v>4.2985200000000008</v>
      </c>
      <c r="W148" s="8">
        <f>Tabelle1[[#This Row],[corr_soma_y]]/1000</f>
        <v>7.7963999999999993</v>
      </c>
      <c r="X148" s="8">
        <f>Tabelle1[[#This Row],[corr_soma_z]]/1000</f>
        <v>0.35</v>
      </c>
    </row>
    <row r="149" spans="1:24" x14ac:dyDescent="0.35">
      <c r="A149" s="7" t="s">
        <v>10</v>
      </c>
      <c r="B149" s="7" t="s">
        <v>18</v>
      </c>
      <c r="C149" s="6">
        <v>4</v>
      </c>
      <c r="D149" s="2">
        <v>7826.32</v>
      </c>
      <c r="E149" s="2">
        <v>3158.96</v>
      </c>
      <c r="F149" s="2">
        <v>7000</v>
      </c>
      <c r="G149" s="2">
        <v>4298.5200000000004</v>
      </c>
      <c r="H149" s="2">
        <v>7796.4</v>
      </c>
      <c r="I149" s="2">
        <v>350</v>
      </c>
      <c r="J149" s="2">
        <v>7826.32</v>
      </c>
      <c r="K149" s="2">
        <v>3158.96</v>
      </c>
      <c r="L149" s="2">
        <v>7000</v>
      </c>
      <c r="M149" s="2">
        <v>4298.5200000000004</v>
      </c>
      <c r="N149" s="2">
        <v>7796.4</v>
      </c>
      <c r="O149" s="2">
        <v>350</v>
      </c>
      <c r="P149" s="8">
        <v>8.0210100000000006E-2</v>
      </c>
      <c r="Q149" s="8">
        <v>1.6190800000000001</v>
      </c>
      <c r="R149" s="8">
        <v>0.10738200000000001</v>
      </c>
      <c r="S149" s="8">
        <f>Tabelle1[[#This Row],[corr_x]]/1000</f>
        <v>7.8263199999999999</v>
      </c>
      <c r="T149" s="8">
        <f>Tabelle1[[#This Row],[corr_y]]/1000</f>
        <v>3.15896</v>
      </c>
      <c r="U149" s="8">
        <f>Tabelle1[[#This Row],[corr_z]]/1000</f>
        <v>7</v>
      </c>
      <c r="V149" s="8">
        <f>Tabelle1[[#This Row],[corr_soma_x]]/1000</f>
        <v>4.2985200000000008</v>
      </c>
      <c r="W149" s="8">
        <f>Tabelle1[[#This Row],[corr_soma_y]]/1000</f>
        <v>7.7963999999999993</v>
      </c>
      <c r="X149" s="8">
        <f>Tabelle1[[#This Row],[corr_soma_z]]/1000</f>
        <v>0.35</v>
      </c>
    </row>
    <row r="150" spans="1:24" x14ac:dyDescent="0.35">
      <c r="A150" s="7" t="s">
        <v>10</v>
      </c>
      <c r="B150" s="7" t="s">
        <v>18</v>
      </c>
      <c r="C150" s="6">
        <v>5</v>
      </c>
      <c r="D150" s="2">
        <v>8831.82</v>
      </c>
      <c r="E150" s="2">
        <v>2790.67</v>
      </c>
      <c r="F150" s="2">
        <v>7825</v>
      </c>
      <c r="G150" s="2">
        <v>4298.5200000000004</v>
      </c>
      <c r="H150" s="2">
        <v>7796.4</v>
      </c>
      <c r="I150" s="2">
        <v>350</v>
      </c>
      <c r="J150" s="2">
        <v>8831.82</v>
      </c>
      <c r="K150" s="2">
        <v>2790.67</v>
      </c>
      <c r="L150" s="2">
        <v>7825</v>
      </c>
      <c r="M150" s="2">
        <v>4298.5200000000004</v>
      </c>
      <c r="N150" s="2">
        <v>7796.4</v>
      </c>
      <c r="O150" s="2">
        <v>350</v>
      </c>
      <c r="P150" s="8">
        <v>6.1831999999999998E-2</v>
      </c>
      <c r="Q150" s="8">
        <v>0.75369699999999995</v>
      </c>
      <c r="R150" s="8">
        <v>4.9689799999999999E-2</v>
      </c>
      <c r="S150" s="8">
        <f>Tabelle1[[#This Row],[corr_x]]/1000</f>
        <v>8.8318200000000004</v>
      </c>
      <c r="T150" s="8">
        <f>Tabelle1[[#This Row],[corr_y]]/1000</f>
        <v>2.79067</v>
      </c>
      <c r="U150" s="8">
        <f>Tabelle1[[#This Row],[corr_z]]/1000</f>
        <v>7.8250000000000002</v>
      </c>
      <c r="V150" s="8">
        <f>Tabelle1[[#This Row],[corr_soma_x]]/1000</f>
        <v>4.2985200000000008</v>
      </c>
      <c r="W150" s="8">
        <f>Tabelle1[[#This Row],[corr_soma_y]]/1000</f>
        <v>7.7963999999999993</v>
      </c>
      <c r="X150" s="8">
        <f>Tabelle1[[#This Row],[corr_soma_z]]/1000</f>
        <v>0.35</v>
      </c>
    </row>
    <row r="151" spans="1:24" x14ac:dyDescent="0.35">
      <c r="A151" s="7" t="s">
        <v>11</v>
      </c>
      <c r="B151" s="7" t="s">
        <v>19</v>
      </c>
      <c r="C151" s="6">
        <v>1</v>
      </c>
      <c r="D151" s="2">
        <v>3045.41</v>
      </c>
      <c r="E151" s="2">
        <v>-1668.5650000000001</v>
      </c>
      <c r="F151" s="2">
        <v>132.5</v>
      </c>
      <c r="G151" s="2">
        <v>5031.3</v>
      </c>
      <c r="H151" s="2">
        <v>-2282.56</v>
      </c>
      <c r="I151" s="2">
        <v>70</v>
      </c>
      <c r="J151" s="2">
        <f>(D151/104)*1000</f>
        <v>29282.788461538457</v>
      </c>
      <c r="K151" s="2">
        <f>(E151/104)*1000</f>
        <v>-16043.894230769232</v>
      </c>
      <c r="L151" s="2">
        <f>(F151/104)*1000</f>
        <v>1274.0384615384614</v>
      </c>
      <c r="M151" s="2">
        <f>(F151/104)*1000</f>
        <v>1274.0384615384614</v>
      </c>
      <c r="N151" s="2">
        <f>(H151/104)*1000</f>
        <v>-21947.692307692309</v>
      </c>
      <c r="O151" s="2">
        <f>(I151/104)*1000</f>
        <v>673.07692307692309</v>
      </c>
      <c r="P151" s="8">
        <v>3.4853272928994081E-2</v>
      </c>
      <c r="Q151" s="8">
        <v>1.7926312869822485</v>
      </c>
      <c r="R151" s="8">
        <v>0.15660026456531634</v>
      </c>
      <c r="S151" s="8">
        <f>Tabelle1[[#This Row],[corr_x]]/1000</f>
        <v>29.282788461538459</v>
      </c>
      <c r="T151" s="8">
        <f>Tabelle1[[#This Row],[corr_y]]/1000</f>
        <v>-16.043894230769233</v>
      </c>
      <c r="U151" s="8">
        <f>Tabelle1[[#This Row],[corr_z]]/1000</f>
        <v>1.2740384615384615</v>
      </c>
      <c r="V151" s="8">
        <f>Tabelle1[[#This Row],[corr_soma_x]]/1000</f>
        <v>1.2740384615384615</v>
      </c>
      <c r="W151" s="8">
        <f>Tabelle1[[#This Row],[corr_soma_y]]/1000</f>
        <v>-21.947692307692307</v>
      </c>
      <c r="X151" s="8">
        <f>Tabelle1[[#This Row],[corr_soma_z]]/1000</f>
        <v>0.67307692307692313</v>
      </c>
    </row>
    <row r="152" spans="1:24" x14ac:dyDescent="0.35">
      <c r="A152" s="7" t="s">
        <v>11</v>
      </c>
      <c r="B152" s="7" t="s">
        <v>19</v>
      </c>
      <c r="C152" s="6">
        <v>2</v>
      </c>
      <c r="D152" s="2">
        <v>3107.42</v>
      </c>
      <c r="E152" s="2">
        <v>-1730.2049999999999</v>
      </c>
      <c r="F152" s="2">
        <v>117.5</v>
      </c>
      <c r="G152" s="2">
        <v>5031.3</v>
      </c>
      <c r="H152" s="2">
        <v>-2282.56</v>
      </c>
      <c r="I152" s="2">
        <v>70</v>
      </c>
      <c r="J152" s="2">
        <f>(D152/104)*1000</f>
        <v>29879.038461538465</v>
      </c>
      <c r="K152" s="2">
        <f>(E152/104)*1000</f>
        <v>-16636.586538461535</v>
      </c>
      <c r="L152" s="2">
        <f>(F152/104)*1000</f>
        <v>1129.8076923076924</v>
      </c>
      <c r="M152" s="2">
        <f>(F152/104)*1000</f>
        <v>1129.8076923076924</v>
      </c>
      <c r="N152" s="2">
        <f>(H152/104)*1000</f>
        <v>-21947.692307692309</v>
      </c>
      <c r="O152" s="2">
        <f>(I152/104)*1000</f>
        <v>673.07692307692309</v>
      </c>
      <c r="P152" s="8">
        <v>5.6729012573964496E-2</v>
      </c>
      <c r="Q152" s="8">
        <v>3.1318232248520714</v>
      </c>
      <c r="R152" s="8">
        <v>0.34604005461993625</v>
      </c>
      <c r="S152" s="8">
        <f>Tabelle1[[#This Row],[corr_x]]/1000</f>
        <v>29.879038461538464</v>
      </c>
      <c r="T152" s="8">
        <f>Tabelle1[[#This Row],[corr_y]]/1000</f>
        <v>-16.636586538461536</v>
      </c>
      <c r="U152" s="8">
        <f>Tabelle1[[#This Row],[corr_z]]/1000</f>
        <v>1.1298076923076923</v>
      </c>
      <c r="V152" s="8">
        <f>Tabelle1[[#This Row],[corr_soma_x]]/1000</f>
        <v>1.1298076923076923</v>
      </c>
      <c r="W152" s="8">
        <f>Tabelle1[[#This Row],[corr_soma_y]]/1000</f>
        <v>-21.947692307692307</v>
      </c>
      <c r="X152" s="8">
        <f>Tabelle1[[#This Row],[corr_soma_z]]/1000</f>
        <v>0.67307692307692313</v>
      </c>
    </row>
    <row r="153" spans="1:24" x14ac:dyDescent="0.35">
      <c r="A153" s="7" t="s">
        <v>11</v>
      </c>
      <c r="B153" s="7" t="s">
        <v>18</v>
      </c>
      <c r="C153" s="6">
        <v>1</v>
      </c>
      <c r="D153" s="2">
        <v>2809.79</v>
      </c>
      <c r="E153" s="2">
        <v>-1774.4949999999999</v>
      </c>
      <c r="F153" s="2">
        <v>212.5</v>
      </c>
      <c r="G153" s="2">
        <v>5031.3</v>
      </c>
      <c r="H153" s="2">
        <v>-2282.56</v>
      </c>
      <c r="I153" s="2">
        <v>70</v>
      </c>
      <c r="J153" s="2">
        <f>(D153/104)*1000</f>
        <v>27017.211538461539</v>
      </c>
      <c r="K153" s="2">
        <f>(E153/104)*1000</f>
        <v>-17062.451923076922</v>
      </c>
      <c r="L153" s="2">
        <f>(F153/104)*1000</f>
        <v>2043.2692307692309</v>
      </c>
      <c r="M153" s="2">
        <f>(F153/104)*1000</f>
        <v>2043.2692307692309</v>
      </c>
      <c r="N153" s="2">
        <f>(H153/104)*1000</f>
        <v>-21947.692307692309</v>
      </c>
      <c r="O153" s="2">
        <f>(I153/104)*1000</f>
        <v>673.07692307692309</v>
      </c>
      <c r="P153" s="8">
        <v>1.0334504437869823E-2</v>
      </c>
      <c r="Q153" s="8">
        <v>0.60992880917159764</v>
      </c>
      <c r="R153" s="8">
        <v>3.6170505945607646E-2</v>
      </c>
      <c r="S153" s="8">
        <f>Tabelle1[[#This Row],[corr_x]]/1000</f>
        <v>27.017211538461538</v>
      </c>
      <c r="T153" s="8">
        <f>Tabelle1[[#This Row],[corr_y]]/1000</f>
        <v>-17.062451923076921</v>
      </c>
      <c r="U153" s="8">
        <f>Tabelle1[[#This Row],[corr_z]]/1000</f>
        <v>2.0432692307692308</v>
      </c>
      <c r="V153" s="8">
        <f>Tabelle1[[#This Row],[corr_soma_x]]/1000</f>
        <v>2.0432692307692308</v>
      </c>
      <c r="W153" s="8">
        <f>Tabelle1[[#This Row],[corr_soma_y]]/1000</f>
        <v>-21.947692307692307</v>
      </c>
      <c r="X153" s="8">
        <f>Tabelle1[[#This Row],[corr_soma_z]]/1000</f>
        <v>0.67307692307692313</v>
      </c>
    </row>
    <row r="154" spans="1:24" x14ac:dyDescent="0.35">
      <c r="A154" s="7" t="s">
        <v>11</v>
      </c>
      <c r="B154" s="7" t="s">
        <v>19</v>
      </c>
      <c r="C154" s="6">
        <v>3</v>
      </c>
      <c r="D154" s="2">
        <v>2687.5</v>
      </c>
      <c r="E154" s="2">
        <v>-1744.41</v>
      </c>
      <c r="F154" s="2">
        <v>215</v>
      </c>
      <c r="G154" s="2">
        <v>5031.3</v>
      </c>
      <c r="H154" s="2">
        <v>-2282.56</v>
      </c>
      <c r="I154" s="2">
        <v>70</v>
      </c>
      <c r="J154" s="2">
        <f>(D154/104)*1000</f>
        <v>25841.346153846152</v>
      </c>
      <c r="K154" s="2">
        <f>(E154/104)*1000</f>
        <v>-16773.173076923078</v>
      </c>
      <c r="L154" s="2">
        <f>(F154/104)*1000</f>
        <v>2067.3076923076924</v>
      </c>
      <c r="M154" s="2">
        <f>(F154/104)*1000</f>
        <v>2067.3076923076924</v>
      </c>
      <c r="N154" s="2">
        <f>(H154/104)*1000</f>
        <v>-21947.692307692309</v>
      </c>
      <c r="O154" s="2">
        <f>(I154/104)*1000</f>
        <v>673.07692307692309</v>
      </c>
      <c r="P154" s="8">
        <v>2.9389423076923073E-2</v>
      </c>
      <c r="Q154" s="8">
        <v>1.2442307692307693</v>
      </c>
      <c r="R154" s="8">
        <v>0.1263815003413746</v>
      </c>
      <c r="S154" s="8">
        <f>Tabelle1[[#This Row],[corr_x]]/1000</f>
        <v>25.841346153846153</v>
      </c>
      <c r="T154" s="8">
        <f>Tabelle1[[#This Row],[corr_y]]/1000</f>
        <v>-16.773173076923079</v>
      </c>
      <c r="U154" s="8">
        <f>Tabelle1[[#This Row],[corr_z]]/1000</f>
        <v>2.0673076923076925</v>
      </c>
      <c r="V154" s="8">
        <f>Tabelle1[[#This Row],[corr_soma_x]]/1000</f>
        <v>2.0673076923076925</v>
      </c>
      <c r="W154" s="8">
        <f>Tabelle1[[#This Row],[corr_soma_y]]/1000</f>
        <v>-21.947692307692307</v>
      </c>
      <c r="X154" s="8">
        <f>Tabelle1[[#This Row],[corr_soma_z]]/1000</f>
        <v>0.67307692307692313</v>
      </c>
    </row>
    <row r="155" spans="1:24" x14ac:dyDescent="0.35">
      <c r="A155" s="7" t="s">
        <v>11</v>
      </c>
      <c r="B155" s="7" t="s">
        <v>18</v>
      </c>
      <c r="C155" s="6">
        <v>2</v>
      </c>
      <c r="D155" s="2">
        <v>2734.26</v>
      </c>
      <c r="E155" s="2">
        <v>-1719.18</v>
      </c>
      <c r="F155" s="2">
        <v>250</v>
      </c>
      <c r="G155" s="2">
        <v>5031.3</v>
      </c>
      <c r="H155" s="2">
        <v>-2282.56</v>
      </c>
      <c r="I155" s="2">
        <v>70</v>
      </c>
      <c r="J155" s="2">
        <f>(D155/104)*1000</f>
        <v>26290.961538461543</v>
      </c>
      <c r="K155" s="2">
        <f>(E155/104)*1000</f>
        <v>-16530.576923076926</v>
      </c>
      <c r="L155" s="2">
        <f>(F155/104)*1000</f>
        <v>2403.8461538461538</v>
      </c>
      <c r="M155" s="2">
        <f>(F155/104)*1000</f>
        <v>2403.8461538461538</v>
      </c>
      <c r="N155" s="2">
        <f>(H155/104)*1000</f>
        <v>-21947.692307692309</v>
      </c>
      <c r="O155" s="2">
        <f>(I155/104)*1000</f>
        <v>673.07692307692309</v>
      </c>
      <c r="P155" s="8">
        <v>3.3508598372781064E-2</v>
      </c>
      <c r="Q155" s="8">
        <v>0.75615014792899415</v>
      </c>
      <c r="R155" s="8">
        <v>6.316870306099226E-2</v>
      </c>
      <c r="S155" s="8">
        <f>Tabelle1[[#This Row],[corr_x]]/1000</f>
        <v>26.290961538461541</v>
      </c>
      <c r="T155" s="8">
        <f>Tabelle1[[#This Row],[corr_y]]/1000</f>
        <v>-16.530576923076925</v>
      </c>
      <c r="U155" s="8">
        <f>Tabelle1[[#This Row],[corr_z]]/1000</f>
        <v>2.4038461538461537</v>
      </c>
      <c r="V155" s="8">
        <f>Tabelle1[[#This Row],[corr_soma_x]]/1000</f>
        <v>2.4038461538461537</v>
      </c>
      <c r="W155" s="8">
        <f>Tabelle1[[#This Row],[corr_soma_y]]/1000</f>
        <v>-21.947692307692307</v>
      </c>
      <c r="X155" s="8">
        <f>Tabelle1[[#This Row],[corr_soma_z]]/1000</f>
        <v>0.67307692307692313</v>
      </c>
    </row>
    <row r="156" spans="1:24" x14ac:dyDescent="0.35">
      <c r="A156" s="7" t="s">
        <v>11</v>
      </c>
      <c r="B156" s="7" t="s">
        <v>18</v>
      </c>
      <c r="C156" s="6">
        <v>3</v>
      </c>
      <c r="D156" s="2">
        <v>2562.83</v>
      </c>
      <c r="E156" s="2">
        <v>-1763.58</v>
      </c>
      <c r="F156" s="2">
        <v>305</v>
      </c>
      <c r="G156" s="2">
        <v>5031.3</v>
      </c>
      <c r="H156" s="2">
        <v>-2282.56</v>
      </c>
      <c r="I156" s="2">
        <v>70</v>
      </c>
      <c r="J156" s="2">
        <f>(D156/104)*1000</f>
        <v>24642.596153846152</v>
      </c>
      <c r="K156" s="2">
        <f>(E156/104)*1000</f>
        <v>-16957.5</v>
      </c>
      <c r="L156" s="2">
        <f>(F156/104)*1000</f>
        <v>2932.6923076923076</v>
      </c>
      <c r="M156" s="2">
        <f>(F156/104)*1000</f>
        <v>2932.6923076923076</v>
      </c>
      <c r="N156" s="2">
        <f>(H156/104)*1000</f>
        <v>-21947.692307692309</v>
      </c>
      <c r="O156" s="2">
        <f>(I156/104)*1000</f>
        <v>673.07692307692309</v>
      </c>
      <c r="P156" s="8">
        <v>6.9636002218934914E-2</v>
      </c>
      <c r="Q156" s="8">
        <v>1.2145894970414202</v>
      </c>
      <c r="R156" s="8">
        <v>0.11058759103322713</v>
      </c>
      <c r="S156" s="8">
        <f>Tabelle1[[#This Row],[corr_x]]/1000</f>
        <v>24.642596153846153</v>
      </c>
      <c r="T156" s="8">
        <f>Tabelle1[[#This Row],[corr_y]]/1000</f>
        <v>-16.9575</v>
      </c>
      <c r="U156" s="8">
        <f>Tabelle1[[#This Row],[corr_z]]/1000</f>
        <v>2.9326923076923075</v>
      </c>
      <c r="V156" s="8">
        <f>Tabelle1[[#This Row],[corr_soma_x]]/1000</f>
        <v>2.9326923076923075</v>
      </c>
      <c r="W156" s="8">
        <f>Tabelle1[[#This Row],[corr_soma_y]]/1000</f>
        <v>-21.947692307692307</v>
      </c>
      <c r="X156" s="8">
        <f>Tabelle1[[#This Row],[corr_soma_z]]/1000</f>
        <v>0.67307692307692313</v>
      </c>
    </row>
    <row r="157" spans="1:24" x14ac:dyDescent="0.35">
      <c r="A157" s="7" t="s">
        <v>11</v>
      </c>
      <c r="B157" s="7" t="s">
        <v>18</v>
      </c>
      <c r="C157" s="6">
        <v>4</v>
      </c>
      <c r="D157" s="2">
        <v>2625.6</v>
      </c>
      <c r="E157" s="2">
        <v>-1796.0050000000001</v>
      </c>
      <c r="F157" s="2">
        <v>279.5</v>
      </c>
      <c r="G157" s="2">
        <v>5031.3</v>
      </c>
      <c r="H157" s="2">
        <v>-2282.56</v>
      </c>
      <c r="I157" s="2">
        <v>70</v>
      </c>
      <c r="J157" s="2">
        <f>(D157/104)*1000</f>
        <v>25246.153846153844</v>
      </c>
      <c r="K157" s="2">
        <f>(E157/104)*1000</f>
        <v>-17269.278846153844</v>
      </c>
      <c r="L157" s="2">
        <f>(F157/104)*1000</f>
        <v>2687.5</v>
      </c>
      <c r="M157" s="2">
        <f>(F157/104)*1000</f>
        <v>2687.5</v>
      </c>
      <c r="N157" s="2">
        <f>(H157/104)*1000</f>
        <v>-21947.692307692309</v>
      </c>
      <c r="O157" s="2">
        <f>(I157/104)*1000</f>
        <v>673.07692307692309</v>
      </c>
      <c r="P157" s="8">
        <v>2.3880917159763312E-2</v>
      </c>
      <c r="Q157" s="8">
        <v>1.6287167159763314</v>
      </c>
      <c r="R157" s="8">
        <v>0.18781025972917614</v>
      </c>
      <c r="S157" s="8">
        <f>Tabelle1[[#This Row],[corr_x]]/1000</f>
        <v>25.246153846153845</v>
      </c>
      <c r="T157" s="8">
        <f>Tabelle1[[#This Row],[corr_y]]/1000</f>
        <v>-17.269278846153846</v>
      </c>
      <c r="U157" s="8">
        <f>Tabelle1[[#This Row],[corr_z]]/1000</f>
        <v>2.6875</v>
      </c>
      <c r="V157" s="8">
        <f>Tabelle1[[#This Row],[corr_soma_x]]/1000</f>
        <v>2.6875</v>
      </c>
      <c r="W157" s="8">
        <f>Tabelle1[[#This Row],[corr_soma_y]]/1000</f>
        <v>-21.947692307692307</v>
      </c>
      <c r="X157" s="8">
        <f>Tabelle1[[#This Row],[corr_soma_z]]/1000</f>
        <v>0.67307692307692313</v>
      </c>
    </row>
    <row r="158" spans="1:24" x14ac:dyDescent="0.35">
      <c r="A158" s="7" t="s">
        <v>11</v>
      </c>
      <c r="B158" s="7" t="s">
        <v>18</v>
      </c>
      <c r="C158" s="6">
        <v>5</v>
      </c>
      <c r="D158" s="2">
        <v>2489.84</v>
      </c>
      <c r="E158" s="2">
        <v>-1850.4</v>
      </c>
      <c r="F158" s="2">
        <v>425</v>
      </c>
      <c r="G158" s="2">
        <v>5031.3</v>
      </c>
      <c r="H158" s="2">
        <v>-2282.56</v>
      </c>
      <c r="I158" s="2">
        <v>70</v>
      </c>
      <c r="J158" s="2">
        <f>(D158/104)*1000</f>
        <v>23940.76923076923</v>
      </c>
      <c r="K158" s="2">
        <f>(E158/104)*1000</f>
        <v>-17792.307692307695</v>
      </c>
      <c r="L158" s="2">
        <f>(F158/104)*1000</f>
        <v>4086.5384615384619</v>
      </c>
      <c r="M158" s="2">
        <f>(F158/104)*1000</f>
        <v>4086.5384615384619</v>
      </c>
      <c r="N158" s="2">
        <f>(H158/104)*1000</f>
        <v>-21947.692307692309</v>
      </c>
      <c r="O158" s="2">
        <f>(I158/104)*1000</f>
        <v>673.07692307692309</v>
      </c>
      <c r="P158" s="8">
        <v>4.0653476331360947E-2</v>
      </c>
      <c r="Q158" s="8">
        <v>2.0044563609467456</v>
      </c>
      <c r="R158" s="8">
        <v>0.2136364929449249</v>
      </c>
      <c r="S158" s="8">
        <f>Tabelle1[[#This Row],[corr_x]]/1000</f>
        <v>23.940769230769231</v>
      </c>
      <c r="T158" s="8">
        <f>Tabelle1[[#This Row],[corr_y]]/1000</f>
        <v>-17.792307692307695</v>
      </c>
      <c r="U158" s="8">
        <f>Tabelle1[[#This Row],[corr_z]]/1000</f>
        <v>4.0865384615384617</v>
      </c>
      <c r="V158" s="8">
        <f>Tabelle1[[#This Row],[corr_soma_x]]/1000</f>
        <v>4.0865384615384617</v>
      </c>
      <c r="W158" s="8">
        <f>Tabelle1[[#This Row],[corr_soma_y]]/1000</f>
        <v>-21.947692307692307</v>
      </c>
      <c r="X158" s="8">
        <f>Tabelle1[[#This Row],[corr_soma_z]]/1000</f>
        <v>0.67307692307692313</v>
      </c>
    </row>
    <row r="159" spans="1:24" x14ac:dyDescent="0.35">
      <c r="A159" s="7" t="s">
        <v>11</v>
      </c>
      <c r="B159" s="7" t="s">
        <v>18</v>
      </c>
      <c r="C159" s="6">
        <v>6</v>
      </c>
      <c r="D159" s="2">
        <v>2434.52</v>
      </c>
      <c r="E159" s="2">
        <v>-1887.615</v>
      </c>
      <c r="F159" s="2">
        <v>442.5</v>
      </c>
      <c r="G159" s="2">
        <v>5031.3</v>
      </c>
      <c r="H159" s="2">
        <v>-2282.56</v>
      </c>
      <c r="I159" s="2">
        <v>70</v>
      </c>
      <c r="J159" s="2">
        <f>(D159/104)*1000</f>
        <v>23408.846153846152</v>
      </c>
      <c r="K159" s="2">
        <f>(E159/104)*1000</f>
        <v>-18150.14423076923</v>
      </c>
      <c r="L159" s="2">
        <f>(F159/104)*1000</f>
        <v>4254.8076923076924</v>
      </c>
      <c r="M159" s="2">
        <f>(F159/104)*1000</f>
        <v>4254.8076923076924</v>
      </c>
      <c r="N159" s="2">
        <f>(H159/104)*1000</f>
        <v>-21947.692307692309</v>
      </c>
      <c r="O159" s="2">
        <f>(I159/104)*1000</f>
        <v>673.07692307692309</v>
      </c>
      <c r="P159" s="8">
        <v>1.8223650147928993E-2</v>
      </c>
      <c r="Q159" s="8">
        <v>0.50424741124260353</v>
      </c>
      <c r="R159" s="8">
        <v>3.6709059939690487E-2</v>
      </c>
      <c r="S159" s="8">
        <f>Tabelle1[[#This Row],[corr_x]]/1000</f>
        <v>23.408846153846152</v>
      </c>
      <c r="T159" s="8">
        <f>Tabelle1[[#This Row],[corr_y]]/1000</f>
        <v>-18.150144230769232</v>
      </c>
      <c r="U159" s="8">
        <f>Tabelle1[[#This Row],[corr_z]]/1000</f>
        <v>4.2548076923076925</v>
      </c>
      <c r="V159" s="8">
        <f>Tabelle1[[#This Row],[corr_soma_x]]/1000</f>
        <v>4.2548076923076925</v>
      </c>
      <c r="W159" s="8">
        <f>Tabelle1[[#This Row],[corr_soma_y]]/1000</f>
        <v>-21.947692307692307</v>
      </c>
      <c r="X159" s="8">
        <f>Tabelle1[[#This Row],[corr_soma_z]]/1000</f>
        <v>0.67307692307692313</v>
      </c>
    </row>
    <row r="160" spans="1:24" x14ac:dyDescent="0.35">
      <c r="A160" s="7" t="s">
        <v>11</v>
      </c>
      <c r="B160" s="7" t="s">
        <v>18</v>
      </c>
      <c r="C160" s="6">
        <v>7</v>
      </c>
      <c r="D160" s="2">
        <v>2470.8200000000002</v>
      </c>
      <c r="E160" s="2">
        <v>-1901.65</v>
      </c>
      <c r="F160" s="2">
        <v>470</v>
      </c>
      <c r="G160" s="2">
        <v>5031.3</v>
      </c>
      <c r="H160" s="2">
        <v>-2282.56</v>
      </c>
      <c r="I160" s="2">
        <v>70</v>
      </c>
      <c r="J160" s="2">
        <f>(D160/104)*1000</f>
        <v>23757.884615384617</v>
      </c>
      <c r="K160" s="2">
        <f>(E160/104)*1000</f>
        <v>-18285.096153846156</v>
      </c>
      <c r="L160" s="2">
        <f>(F160/104)*1000</f>
        <v>4519.2307692307695</v>
      </c>
      <c r="M160" s="2">
        <f>(F160/104)*1000</f>
        <v>4519.2307692307695</v>
      </c>
      <c r="N160" s="2">
        <f>(H160/104)*1000</f>
        <v>-21947.692307692309</v>
      </c>
      <c r="O160" s="2">
        <f>(I160/104)*1000</f>
        <v>673.07692307692309</v>
      </c>
      <c r="P160" s="8">
        <v>9.2660872781065093E-2</v>
      </c>
      <c r="Q160" s="8">
        <v>1.2441568047337277</v>
      </c>
      <c r="R160" s="8">
        <v>9.0458046483841606E-2</v>
      </c>
      <c r="S160" s="8">
        <f>Tabelle1[[#This Row],[corr_x]]/1000</f>
        <v>23.757884615384619</v>
      </c>
      <c r="T160" s="8">
        <f>Tabelle1[[#This Row],[corr_y]]/1000</f>
        <v>-18.285096153846155</v>
      </c>
      <c r="U160" s="8">
        <f>Tabelle1[[#This Row],[corr_z]]/1000</f>
        <v>4.5192307692307692</v>
      </c>
      <c r="V160" s="8">
        <f>Tabelle1[[#This Row],[corr_soma_x]]/1000</f>
        <v>4.5192307692307692</v>
      </c>
      <c r="W160" s="8">
        <f>Tabelle1[[#This Row],[corr_soma_y]]/1000</f>
        <v>-21.947692307692307</v>
      </c>
      <c r="X160" s="8">
        <f>Tabelle1[[#This Row],[corr_soma_z]]/1000</f>
        <v>0.67307692307692313</v>
      </c>
    </row>
    <row r="161" spans="1:24" x14ac:dyDescent="0.35">
      <c r="A161" s="7" t="s">
        <v>11</v>
      </c>
      <c r="B161" s="7" t="s">
        <v>18</v>
      </c>
      <c r="C161" s="6">
        <v>8</v>
      </c>
      <c r="D161" s="2">
        <v>2419.7800000000002</v>
      </c>
      <c r="E161" s="2">
        <v>-1918.79</v>
      </c>
      <c r="F161" s="2">
        <v>510</v>
      </c>
      <c r="G161" s="2">
        <v>5031.3</v>
      </c>
      <c r="H161" s="2">
        <v>-2282.56</v>
      </c>
      <c r="I161" s="2">
        <v>70</v>
      </c>
      <c r="J161" s="2">
        <f>(D161/104)*1000</f>
        <v>23267.115384615387</v>
      </c>
      <c r="K161" s="2">
        <f>(E161/104)*1000</f>
        <v>-18449.903846153844</v>
      </c>
      <c r="L161" s="2">
        <f>(F161/104)*1000</f>
        <v>4903.8461538461543</v>
      </c>
      <c r="M161" s="2">
        <f>(F161/104)*1000</f>
        <v>4903.8461538461543</v>
      </c>
      <c r="N161" s="2">
        <f>(H161/104)*1000</f>
        <v>-21947.692307692309</v>
      </c>
      <c r="O161" s="2">
        <f>(I161/104)*1000</f>
        <v>673.07692307692309</v>
      </c>
      <c r="P161" s="8">
        <v>4.2254530325443782E-2</v>
      </c>
      <c r="Q161" s="8">
        <v>1.4367418639053253</v>
      </c>
      <c r="R161" s="8">
        <v>9.5417757168866635E-2</v>
      </c>
      <c r="S161" s="8">
        <f>Tabelle1[[#This Row],[corr_x]]/1000</f>
        <v>23.267115384615387</v>
      </c>
      <c r="T161" s="8">
        <f>Tabelle1[[#This Row],[corr_y]]/1000</f>
        <v>-18.449903846153845</v>
      </c>
      <c r="U161" s="8">
        <f>Tabelle1[[#This Row],[corr_z]]/1000</f>
        <v>4.9038461538461542</v>
      </c>
      <c r="V161" s="8">
        <f>Tabelle1[[#This Row],[corr_soma_x]]/1000</f>
        <v>4.9038461538461542</v>
      </c>
      <c r="W161" s="8">
        <f>Tabelle1[[#This Row],[corr_soma_y]]/1000</f>
        <v>-21.947692307692307</v>
      </c>
      <c r="X161" s="8">
        <f>Tabelle1[[#This Row],[corr_soma_z]]/1000</f>
        <v>0.67307692307692313</v>
      </c>
    </row>
    <row r="162" spans="1:24" x14ac:dyDescent="0.35">
      <c r="A162" s="7" t="s">
        <v>11</v>
      </c>
      <c r="B162" s="7" t="s">
        <v>19</v>
      </c>
      <c r="C162" s="6">
        <v>4</v>
      </c>
      <c r="D162" s="2">
        <v>2356.3200000000002</v>
      </c>
      <c r="E162" s="2">
        <v>-1877.64</v>
      </c>
      <c r="F162" s="2">
        <v>520</v>
      </c>
      <c r="G162" s="2">
        <v>5031.3</v>
      </c>
      <c r="H162" s="2">
        <v>-2282.56</v>
      </c>
      <c r="I162" s="2">
        <v>70</v>
      </c>
      <c r="J162" s="2">
        <f>(D162/104)*1000</f>
        <v>22656.923076923078</v>
      </c>
      <c r="K162" s="2">
        <f>(E162/104)*1000</f>
        <v>-18054.23076923077</v>
      </c>
      <c r="L162" s="2">
        <f>(F162/104)*1000</f>
        <v>5000</v>
      </c>
      <c r="M162" s="2">
        <f>(F162/104)*1000</f>
        <v>5000</v>
      </c>
      <c r="N162" s="2">
        <f>(H162/104)*1000</f>
        <v>-21947.692307692309</v>
      </c>
      <c r="O162" s="2">
        <f>(I162/104)*1000</f>
        <v>673.07692307692309</v>
      </c>
      <c r="P162" s="8">
        <v>5.6319619082840236E-2</v>
      </c>
      <c r="Q162" s="8">
        <v>3.7231508875739645</v>
      </c>
      <c r="R162" s="8">
        <v>0.58371945408511605</v>
      </c>
      <c r="S162" s="8">
        <f>Tabelle1[[#This Row],[corr_x]]/1000</f>
        <v>22.656923076923078</v>
      </c>
      <c r="T162" s="8">
        <f>Tabelle1[[#This Row],[corr_y]]/1000</f>
        <v>-18.05423076923077</v>
      </c>
      <c r="U162" s="8">
        <f>Tabelle1[[#This Row],[corr_z]]/1000</f>
        <v>5</v>
      </c>
      <c r="V162" s="8">
        <f>Tabelle1[[#This Row],[corr_soma_x]]/1000</f>
        <v>5</v>
      </c>
      <c r="W162" s="8">
        <f>Tabelle1[[#This Row],[corr_soma_y]]/1000</f>
        <v>-21.947692307692307</v>
      </c>
      <c r="X162" s="8">
        <f>Tabelle1[[#This Row],[corr_soma_z]]/1000</f>
        <v>0.67307692307692313</v>
      </c>
    </row>
    <row r="163" spans="1:24" x14ac:dyDescent="0.35">
      <c r="A163" s="7" t="s">
        <v>11</v>
      </c>
      <c r="B163" s="7" t="s">
        <v>18</v>
      </c>
      <c r="C163" s="6">
        <v>9</v>
      </c>
      <c r="D163" s="2">
        <v>2367.5650000000001</v>
      </c>
      <c r="E163" s="2">
        <v>-1887.415</v>
      </c>
      <c r="F163" s="2">
        <v>572.5</v>
      </c>
      <c r="G163" s="2">
        <v>5031.3</v>
      </c>
      <c r="H163" s="2">
        <v>-2282.56</v>
      </c>
      <c r="I163" s="2">
        <v>70</v>
      </c>
      <c r="J163" s="2">
        <f>(D163/104)*1000</f>
        <v>22765.048076923074</v>
      </c>
      <c r="K163" s="2">
        <f>(E163/104)*1000</f>
        <v>-18148.221153846156</v>
      </c>
      <c r="L163" s="2">
        <f>(F163/104)*1000</f>
        <v>5504.8076923076924</v>
      </c>
      <c r="M163" s="2">
        <f>(F163/104)*1000</f>
        <v>5504.8076923076924</v>
      </c>
      <c r="N163" s="2">
        <f>(H163/104)*1000</f>
        <v>-21947.692307692309</v>
      </c>
      <c r="O163" s="2">
        <f>(I163/104)*1000</f>
        <v>673.07692307692309</v>
      </c>
      <c r="P163" s="8">
        <v>5.9334966715976337E-2</v>
      </c>
      <c r="Q163" s="8">
        <v>0.92103920118343185</v>
      </c>
      <c r="R163" s="8">
        <v>9.6088060423304505E-2</v>
      </c>
      <c r="S163" s="8">
        <f>Tabelle1[[#This Row],[corr_x]]/1000</f>
        <v>22.765048076923076</v>
      </c>
      <c r="T163" s="8">
        <f>Tabelle1[[#This Row],[corr_y]]/1000</f>
        <v>-18.148221153846155</v>
      </c>
      <c r="U163" s="8">
        <f>Tabelle1[[#This Row],[corr_z]]/1000</f>
        <v>5.5048076923076925</v>
      </c>
      <c r="V163" s="8">
        <f>Tabelle1[[#This Row],[corr_soma_x]]/1000</f>
        <v>5.5048076923076925</v>
      </c>
      <c r="W163" s="8">
        <f>Tabelle1[[#This Row],[corr_soma_y]]/1000</f>
        <v>-21.947692307692307</v>
      </c>
      <c r="X163" s="8">
        <f>Tabelle1[[#This Row],[corr_soma_z]]/1000</f>
        <v>0.67307692307692313</v>
      </c>
    </row>
    <row r="164" spans="1:24" x14ac:dyDescent="0.35">
      <c r="A164" s="7" t="s">
        <v>11</v>
      </c>
      <c r="B164" s="7" t="s">
        <v>18</v>
      </c>
      <c r="C164" s="6">
        <v>10</v>
      </c>
      <c r="D164" s="2">
        <v>2339.8150000000001</v>
      </c>
      <c r="E164" s="2">
        <v>-1889.82</v>
      </c>
      <c r="F164" s="2">
        <v>572.5</v>
      </c>
      <c r="G164" s="2">
        <v>5031.3</v>
      </c>
      <c r="H164" s="2">
        <v>-2282.56</v>
      </c>
      <c r="I164" s="2">
        <v>70</v>
      </c>
      <c r="J164" s="2">
        <f>(D164/104)*1000</f>
        <v>22498.221153846152</v>
      </c>
      <c r="K164" s="2">
        <f>(E164/104)*1000</f>
        <v>-18171.346153846152</v>
      </c>
      <c r="L164" s="2">
        <f>(F164/104)*1000</f>
        <v>5504.8076923076924</v>
      </c>
      <c r="M164" s="2">
        <f>(F164/104)*1000</f>
        <v>5504.8076923076924</v>
      </c>
      <c r="N164" s="2">
        <f>(H164/104)*1000</f>
        <v>-21947.692307692309</v>
      </c>
      <c r="O164" s="2">
        <f>(I164/104)*1000</f>
        <v>673.07692307692309</v>
      </c>
      <c r="P164" s="8">
        <v>2.3627403846153847E-2</v>
      </c>
      <c r="Q164" s="8">
        <v>0.92452570266272194</v>
      </c>
      <c r="R164" s="8">
        <v>8.1293916420118351E-2</v>
      </c>
      <c r="S164" s="8">
        <f>Tabelle1[[#This Row],[corr_x]]/1000</f>
        <v>22.498221153846153</v>
      </c>
      <c r="T164" s="8">
        <f>Tabelle1[[#This Row],[corr_y]]/1000</f>
        <v>-18.171346153846152</v>
      </c>
      <c r="U164" s="8">
        <f>Tabelle1[[#This Row],[corr_z]]/1000</f>
        <v>5.5048076923076925</v>
      </c>
      <c r="V164" s="8">
        <f>Tabelle1[[#This Row],[corr_soma_x]]/1000</f>
        <v>5.5048076923076925</v>
      </c>
      <c r="W164" s="8">
        <f>Tabelle1[[#This Row],[corr_soma_y]]/1000</f>
        <v>-21.947692307692307</v>
      </c>
      <c r="X164" s="8">
        <f>Tabelle1[[#This Row],[corr_soma_z]]/1000</f>
        <v>0.67307692307692313</v>
      </c>
    </row>
    <row r="165" spans="1:24" x14ac:dyDescent="0.35">
      <c r="A165" s="7" t="s">
        <v>11</v>
      </c>
      <c r="B165" s="7" t="s">
        <v>18</v>
      </c>
      <c r="C165" s="6">
        <v>11</v>
      </c>
      <c r="D165" s="2">
        <v>2371.16</v>
      </c>
      <c r="E165" s="2">
        <v>-1888.655</v>
      </c>
      <c r="F165" s="2">
        <v>607.5</v>
      </c>
      <c r="G165" s="2">
        <v>5031.3</v>
      </c>
      <c r="H165" s="2">
        <v>-2282.56</v>
      </c>
      <c r="I165" s="2">
        <v>70</v>
      </c>
      <c r="J165" s="2">
        <f>(D165/104)*1000</f>
        <v>22799.615384615383</v>
      </c>
      <c r="K165" s="2">
        <f>(E165/104)*1000</f>
        <v>-18160.14423076923</v>
      </c>
      <c r="L165" s="2">
        <f>(F165/104)*1000</f>
        <v>5841.3461538461543</v>
      </c>
      <c r="M165" s="2">
        <f>(F165/104)*1000</f>
        <v>5841.3461538461543</v>
      </c>
      <c r="N165" s="2">
        <f>(H165/104)*1000</f>
        <v>-21947.692307692309</v>
      </c>
      <c r="O165" s="2">
        <f>(I165/104)*1000</f>
        <v>673.07692307692309</v>
      </c>
      <c r="P165" s="8">
        <v>5.0256286982248523E-2</v>
      </c>
      <c r="Q165" s="8">
        <v>0.98435650887573956</v>
      </c>
      <c r="R165" s="8">
        <v>8.6095119054392349E-2</v>
      </c>
      <c r="S165" s="8">
        <f>Tabelle1[[#This Row],[corr_x]]/1000</f>
        <v>22.799615384615382</v>
      </c>
      <c r="T165" s="8">
        <f>Tabelle1[[#This Row],[corr_y]]/1000</f>
        <v>-18.16014423076923</v>
      </c>
      <c r="U165" s="8">
        <f>Tabelle1[[#This Row],[corr_z]]/1000</f>
        <v>5.8413461538461542</v>
      </c>
      <c r="V165" s="8">
        <f>Tabelle1[[#This Row],[corr_soma_x]]/1000</f>
        <v>5.8413461538461542</v>
      </c>
      <c r="W165" s="8">
        <f>Tabelle1[[#This Row],[corr_soma_y]]/1000</f>
        <v>-21.947692307692307</v>
      </c>
      <c r="X165" s="8">
        <f>Tabelle1[[#This Row],[corr_soma_z]]/1000</f>
        <v>0.67307692307692313</v>
      </c>
    </row>
    <row r="166" spans="1:24" x14ac:dyDescent="0.35">
      <c r="A166" s="7" t="s">
        <v>11</v>
      </c>
      <c r="B166" s="7" t="s">
        <v>18</v>
      </c>
      <c r="C166" s="6">
        <v>12</v>
      </c>
      <c r="D166" s="2">
        <v>2318.64</v>
      </c>
      <c r="E166" s="2">
        <v>-1947.66</v>
      </c>
      <c r="F166" s="2">
        <v>610</v>
      </c>
      <c r="G166" s="2">
        <v>5031.3</v>
      </c>
      <c r="H166" s="2">
        <v>-2282.56</v>
      </c>
      <c r="I166" s="2">
        <v>70</v>
      </c>
      <c r="J166" s="2">
        <f>(D166/104)*1000</f>
        <v>22294.615384615383</v>
      </c>
      <c r="K166" s="2">
        <f>(E166/104)*1000</f>
        <v>-18727.5</v>
      </c>
      <c r="L166" s="2">
        <f>(F166/104)*1000</f>
        <v>5865.3846153846152</v>
      </c>
      <c r="M166" s="2">
        <f>(F166/104)*1000</f>
        <v>5865.3846153846152</v>
      </c>
      <c r="N166" s="2">
        <f>(H166/104)*1000</f>
        <v>-21947.692307692309</v>
      </c>
      <c r="O166" s="2">
        <f>(I166/104)*1000</f>
        <v>673.07692307692309</v>
      </c>
      <c r="P166" s="8">
        <v>6.3753235946745562E-2</v>
      </c>
      <c r="Q166" s="8">
        <v>1.056619822485207</v>
      </c>
      <c r="R166" s="8">
        <v>8.6889081702321347E-2</v>
      </c>
      <c r="S166" s="8">
        <f>Tabelle1[[#This Row],[corr_x]]/1000</f>
        <v>22.294615384615383</v>
      </c>
      <c r="T166" s="8">
        <f>Tabelle1[[#This Row],[corr_y]]/1000</f>
        <v>-18.727499999999999</v>
      </c>
      <c r="U166" s="8">
        <f>Tabelle1[[#This Row],[corr_z]]/1000</f>
        <v>5.865384615384615</v>
      </c>
      <c r="V166" s="8">
        <f>Tabelle1[[#This Row],[corr_soma_x]]/1000</f>
        <v>5.865384615384615</v>
      </c>
      <c r="W166" s="8">
        <f>Tabelle1[[#This Row],[corr_soma_y]]/1000</f>
        <v>-21.947692307692307</v>
      </c>
      <c r="X166" s="8">
        <f>Tabelle1[[#This Row],[corr_soma_z]]/1000</f>
        <v>0.67307692307692313</v>
      </c>
    </row>
    <row r="167" spans="1:24" x14ac:dyDescent="0.35">
      <c r="A167" s="7" t="s">
        <v>11</v>
      </c>
      <c r="B167" s="7" t="s">
        <v>18</v>
      </c>
      <c r="C167" s="6">
        <v>13</v>
      </c>
      <c r="D167" s="2">
        <v>2304.7449999999999</v>
      </c>
      <c r="E167" s="2">
        <v>-1949.8049999999998</v>
      </c>
      <c r="F167" s="2">
        <v>647.5</v>
      </c>
      <c r="G167" s="2">
        <v>5031.3</v>
      </c>
      <c r="H167" s="2">
        <v>-2282.56</v>
      </c>
      <c r="I167" s="2">
        <v>70</v>
      </c>
      <c r="J167" s="2">
        <f>(D167/104)*1000</f>
        <v>22161.009615384613</v>
      </c>
      <c r="K167" s="2">
        <f>(E167/104)*1000</f>
        <v>-18748.124999999996</v>
      </c>
      <c r="L167" s="2">
        <f>(F167/104)*1000</f>
        <v>6225.9615384615381</v>
      </c>
      <c r="M167" s="2">
        <f>(F167/104)*1000</f>
        <v>6225.9615384615381</v>
      </c>
      <c r="N167" s="2">
        <f>(H167/104)*1000</f>
        <v>-21947.692307692309</v>
      </c>
      <c r="O167" s="2">
        <f>(I167/104)*1000</f>
        <v>673.07692307692309</v>
      </c>
      <c r="P167" s="8">
        <v>7.3696838017751481E-2</v>
      </c>
      <c r="Q167" s="8">
        <v>1.7353827662721895</v>
      </c>
      <c r="R167" s="8">
        <v>0.17323783141784252</v>
      </c>
      <c r="S167" s="8">
        <f>Tabelle1[[#This Row],[corr_x]]/1000</f>
        <v>22.161009615384614</v>
      </c>
      <c r="T167" s="8">
        <f>Tabelle1[[#This Row],[corr_y]]/1000</f>
        <v>-18.748124999999995</v>
      </c>
      <c r="U167" s="8">
        <f>Tabelle1[[#This Row],[corr_z]]/1000</f>
        <v>6.2259615384615383</v>
      </c>
      <c r="V167" s="8">
        <f>Tabelle1[[#This Row],[corr_soma_x]]/1000</f>
        <v>6.2259615384615383</v>
      </c>
      <c r="W167" s="8">
        <f>Tabelle1[[#This Row],[corr_soma_y]]/1000</f>
        <v>-21.947692307692307</v>
      </c>
      <c r="X167" s="8">
        <f>Tabelle1[[#This Row],[corr_soma_z]]/1000</f>
        <v>0.67307692307692313</v>
      </c>
    </row>
    <row r="168" spans="1:24" x14ac:dyDescent="0.35">
      <c r="A168" s="7" t="s">
        <v>11</v>
      </c>
      <c r="B168" s="7" t="s">
        <v>18</v>
      </c>
      <c r="C168" s="6">
        <v>14</v>
      </c>
      <c r="D168" s="2">
        <v>2253.06</v>
      </c>
      <c r="E168" s="2">
        <v>-1972.65</v>
      </c>
      <c r="F168" s="2">
        <v>705</v>
      </c>
      <c r="G168" s="2">
        <v>5031.3</v>
      </c>
      <c r="H168" s="2">
        <v>-2282.56</v>
      </c>
      <c r="I168" s="2">
        <v>70</v>
      </c>
      <c r="J168" s="2">
        <f>(D168/104)*1000</f>
        <v>21664.038461538461</v>
      </c>
      <c r="K168" s="2">
        <f>(E168/104)*1000</f>
        <v>-18967.788461538461</v>
      </c>
      <c r="L168" s="2">
        <f>(F168/104)*1000</f>
        <v>6778.8461538461543</v>
      </c>
      <c r="M168" s="2">
        <f>(F168/104)*1000</f>
        <v>6778.8461538461543</v>
      </c>
      <c r="N168" s="2">
        <f>(H168/104)*1000</f>
        <v>-21947.692307692309</v>
      </c>
      <c r="O168" s="2">
        <f>(I168/104)*1000</f>
        <v>673.07692307692309</v>
      </c>
      <c r="P168" s="8">
        <v>9.4338942307692311E-2</v>
      </c>
      <c r="Q168" s="8">
        <v>1.4014423076923077</v>
      </c>
      <c r="R168" s="8">
        <v>0.14963408909877104</v>
      </c>
      <c r="S168" s="8">
        <f>Tabelle1[[#This Row],[corr_x]]/1000</f>
        <v>21.66403846153846</v>
      </c>
      <c r="T168" s="8">
        <f>Tabelle1[[#This Row],[corr_y]]/1000</f>
        <v>-18.967788461538461</v>
      </c>
      <c r="U168" s="8">
        <f>Tabelle1[[#This Row],[corr_z]]/1000</f>
        <v>6.7788461538461542</v>
      </c>
      <c r="V168" s="8">
        <f>Tabelle1[[#This Row],[corr_soma_x]]/1000</f>
        <v>6.7788461538461542</v>
      </c>
      <c r="W168" s="8">
        <f>Tabelle1[[#This Row],[corr_soma_y]]/1000</f>
        <v>-21.947692307692307</v>
      </c>
      <c r="X168" s="8">
        <f>Tabelle1[[#This Row],[corr_soma_z]]/1000</f>
        <v>0.67307692307692313</v>
      </c>
    </row>
    <row r="169" spans="1:24" x14ac:dyDescent="0.35">
      <c r="A169" s="7" t="s">
        <v>11</v>
      </c>
      <c r="B169" s="7" t="s">
        <v>18</v>
      </c>
      <c r="C169" s="6">
        <v>15</v>
      </c>
      <c r="D169" s="2">
        <v>2204.2600000000002</v>
      </c>
      <c r="E169" s="2">
        <v>-1958.53</v>
      </c>
      <c r="F169" s="2">
        <v>735</v>
      </c>
      <c r="G169" s="2">
        <v>5031.3</v>
      </c>
      <c r="H169" s="2">
        <v>-2282.56</v>
      </c>
      <c r="I169" s="2">
        <v>70</v>
      </c>
      <c r="J169" s="2">
        <f>(D169/104)*1000</f>
        <v>21194.807692307695</v>
      </c>
      <c r="K169" s="2">
        <f>(E169/104)*1000</f>
        <v>-18832.01923076923</v>
      </c>
      <c r="L169" s="2">
        <f>(F169/104)*1000</f>
        <v>7067.3076923076924</v>
      </c>
      <c r="M169" s="2">
        <f>(F169/104)*1000</f>
        <v>7067.3076923076924</v>
      </c>
      <c r="N169" s="2">
        <f>(H169/104)*1000</f>
        <v>-21947.692307692309</v>
      </c>
      <c r="O169" s="2">
        <f>(I169/104)*1000</f>
        <v>673.07692307692309</v>
      </c>
      <c r="P169" s="8">
        <v>1.8256749260355028E-2</v>
      </c>
      <c r="Q169" s="8">
        <v>1.2244637573964496</v>
      </c>
      <c r="R169" s="8">
        <v>0.10191632055075102</v>
      </c>
      <c r="S169" s="8">
        <f>Tabelle1[[#This Row],[corr_x]]/1000</f>
        <v>21.194807692307695</v>
      </c>
      <c r="T169" s="8">
        <f>Tabelle1[[#This Row],[corr_y]]/1000</f>
        <v>-18.83201923076923</v>
      </c>
      <c r="U169" s="8">
        <f>Tabelle1[[#This Row],[corr_z]]/1000</f>
        <v>7.0673076923076925</v>
      </c>
      <c r="V169" s="8">
        <f>Tabelle1[[#This Row],[corr_soma_x]]/1000</f>
        <v>7.0673076923076925</v>
      </c>
      <c r="W169" s="8">
        <f>Tabelle1[[#This Row],[corr_soma_y]]/1000</f>
        <v>-21.947692307692307</v>
      </c>
      <c r="X169" s="8">
        <f>Tabelle1[[#This Row],[corr_soma_z]]/1000</f>
        <v>0.67307692307692313</v>
      </c>
    </row>
    <row r="170" spans="1:24" x14ac:dyDescent="0.35">
      <c r="A170" s="7" t="s">
        <v>11</v>
      </c>
      <c r="B170" s="7" t="s">
        <v>18</v>
      </c>
      <c r="C170" s="6">
        <v>16</v>
      </c>
      <c r="D170" s="2">
        <v>2182.5100000000002</v>
      </c>
      <c r="E170" s="2">
        <v>-1910.99</v>
      </c>
      <c r="F170" s="2">
        <v>795</v>
      </c>
      <c r="G170" s="2">
        <v>5031.3</v>
      </c>
      <c r="H170" s="2">
        <v>-2282.56</v>
      </c>
      <c r="I170" s="2">
        <v>70</v>
      </c>
      <c r="J170" s="2">
        <f>(D170/104)*1000</f>
        <v>20985.673076923078</v>
      </c>
      <c r="K170" s="2">
        <f>(E170/104)*1000</f>
        <v>-18374.903846153844</v>
      </c>
      <c r="L170" s="2">
        <f>(F170/104)*1000</f>
        <v>7644.2307692307695</v>
      </c>
      <c r="M170" s="2">
        <f>(F170/104)*1000</f>
        <v>7644.2307692307695</v>
      </c>
      <c r="N170" s="2">
        <f>(H170/104)*1000</f>
        <v>-21947.692307692309</v>
      </c>
      <c r="O170" s="2">
        <f>(I170/104)*1000</f>
        <v>673.07692307692309</v>
      </c>
      <c r="P170" s="8">
        <v>5.2509800295857993E-2</v>
      </c>
      <c r="Q170" s="8">
        <v>0.85605214497041415</v>
      </c>
      <c r="R170" s="8">
        <v>7.1206563637915332E-2</v>
      </c>
      <c r="S170" s="8">
        <f>Tabelle1[[#This Row],[corr_x]]/1000</f>
        <v>20.985673076923078</v>
      </c>
      <c r="T170" s="8">
        <f>Tabelle1[[#This Row],[corr_y]]/1000</f>
        <v>-18.374903846153845</v>
      </c>
      <c r="U170" s="8">
        <f>Tabelle1[[#This Row],[corr_z]]/1000</f>
        <v>7.6442307692307692</v>
      </c>
      <c r="V170" s="8">
        <f>Tabelle1[[#This Row],[corr_soma_x]]/1000</f>
        <v>7.6442307692307692</v>
      </c>
      <c r="W170" s="8">
        <f>Tabelle1[[#This Row],[corr_soma_y]]/1000</f>
        <v>-21.947692307692307</v>
      </c>
      <c r="X170" s="8">
        <f>Tabelle1[[#This Row],[corr_soma_z]]/1000</f>
        <v>0.67307692307692313</v>
      </c>
    </row>
    <row r="171" spans="1:24" x14ac:dyDescent="0.35">
      <c r="A171" s="7" t="s">
        <v>11</v>
      </c>
      <c r="B171" s="7" t="s">
        <v>18</v>
      </c>
      <c r="C171" s="6">
        <v>17</v>
      </c>
      <c r="D171" s="2">
        <v>2097.85</v>
      </c>
      <c r="E171" s="2">
        <v>-1923.74</v>
      </c>
      <c r="F171" s="2">
        <v>860</v>
      </c>
      <c r="G171" s="2">
        <v>5031.3</v>
      </c>
      <c r="H171" s="2">
        <v>-2282.56</v>
      </c>
      <c r="I171" s="2">
        <v>70</v>
      </c>
      <c r="J171" s="2">
        <f>(D171/104)*1000</f>
        <v>20171.634615384617</v>
      </c>
      <c r="K171" s="2">
        <f>(E171/104)*1000</f>
        <v>-18497.5</v>
      </c>
      <c r="L171" s="2">
        <f>(F171/104)*1000</f>
        <v>8269.2307692307695</v>
      </c>
      <c r="M171" s="2">
        <f>(F171/104)*1000</f>
        <v>8269.2307692307695</v>
      </c>
      <c r="N171" s="2">
        <f>(H171/104)*1000</f>
        <v>-21947.692307692309</v>
      </c>
      <c r="O171" s="2">
        <f>(I171/104)*1000</f>
        <v>673.07692307692309</v>
      </c>
      <c r="P171" s="8">
        <v>5.1390347633136088E-2</v>
      </c>
      <c r="Q171" s="8">
        <v>2.5728365384615386</v>
      </c>
      <c r="R171" s="8">
        <v>0.30239833437642238</v>
      </c>
      <c r="S171" s="8">
        <f>Tabelle1[[#This Row],[corr_x]]/1000</f>
        <v>20.171634615384615</v>
      </c>
      <c r="T171" s="8">
        <f>Tabelle1[[#This Row],[corr_y]]/1000</f>
        <v>-18.497499999999999</v>
      </c>
      <c r="U171" s="8">
        <f>Tabelle1[[#This Row],[corr_z]]/1000</f>
        <v>8.2692307692307701</v>
      </c>
      <c r="V171" s="8">
        <f>Tabelle1[[#This Row],[corr_soma_x]]/1000</f>
        <v>8.2692307692307701</v>
      </c>
      <c r="W171" s="8">
        <f>Tabelle1[[#This Row],[corr_soma_y]]/1000</f>
        <v>-21.947692307692307</v>
      </c>
      <c r="X171" s="8">
        <f>Tabelle1[[#This Row],[corr_soma_z]]/1000</f>
        <v>0.67307692307692313</v>
      </c>
    </row>
    <row r="172" spans="1:24" x14ac:dyDescent="0.35">
      <c r="A172" s="7" t="s">
        <v>11</v>
      </c>
      <c r="B172" s="7" t="s">
        <v>18</v>
      </c>
      <c r="C172" s="6">
        <v>18</v>
      </c>
      <c r="D172" s="2">
        <v>2129.29</v>
      </c>
      <c r="E172" s="2">
        <v>-1885.54</v>
      </c>
      <c r="F172" s="2">
        <v>850</v>
      </c>
      <c r="G172" s="2">
        <v>5031.3</v>
      </c>
      <c r="H172" s="2">
        <v>-2282.56</v>
      </c>
      <c r="I172" s="2">
        <v>70</v>
      </c>
      <c r="J172" s="2">
        <f>(D172/104)*1000</f>
        <v>20473.942307692309</v>
      </c>
      <c r="K172" s="2">
        <f>(E172/104)*1000</f>
        <v>-18130.192307692309</v>
      </c>
      <c r="L172" s="2">
        <f>(F172/104)*1000</f>
        <v>8173.0769230769238</v>
      </c>
      <c r="M172" s="2">
        <f>(F172/104)*1000</f>
        <v>8173.0769230769238</v>
      </c>
      <c r="N172" s="2">
        <f>(H172/104)*1000</f>
        <v>-21947.692307692309</v>
      </c>
      <c r="O172" s="2">
        <f>(I172/104)*1000</f>
        <v>673.07692307692309</v>
      </c>
      <c r="P172" s="8">
        <v>4.5903198964497037E-2</v>
      </c>
      <c r="Q172" s="8">
        <v>0.55772559171597635</v>
      </c>
      <c r="R172" s="8">
        <v>3.4507993855257171E-2</v>
      </c>
      <c r="S172" s="8">
        <f>Tabelle1[[#This Row],[corr_x]]/1000</f>
        <v>20.473942307692308</v>
      </c>
      <c r="T172" s="8">
        <f>Tabelle1[[#This Row],[corr_y]]/1000</f>
        <v>-18.130192307692308</v>
      </c>
      <c r="U172" s="8">
        <f>Tabelle1[[#This Row],[corr_z]]/1000</f>
        <v>8.1730769230769234</v>
      </c>
      <c r="V172" s="8">
        <f>Tabelle1[[#This Row],[corr_soma_x]]/1000</f>
        <v>8.1730769230769234</v>
      </c>
      <c r="W172" s="8">
        <f>Tabelle1[[#This Row],[corr_soma_y]]/1000</f>
        <v>-21.947692307692307</v>
      </c>
      <c r="X172" s="8">
        <f>Tabelle1[[#This Row],[corr_soma_z]]/1000</f>
        <v>0.67307692307692313</v>
      </c>
    </row>
    <row r="173" spans="1:24" x14ac:dyDescent="0.35">
      <c r="A173" s="7" t="s">
        <v>11</v>
      </c>
      <c r="B173" s="7" t="s">
        <v>18</v>
      </c>
      <c r="C173" s="6">
        <v>19</v>
      </c>
      <c r="D173" s="2">
        <v>2005.0250000000001</v>
      </c>
      <c r="E173" s="2">
        <v>-1850.05</v>
      </c>
      <c r="F173" s="2">
        <v>947.5</v>
      </c>
      <c r="G173" s="2">
        <v>5031.3</v>
      </c>
      <c r="H173" s="2">
        <v>-2282.56</v>
      </c>
      <c r="I173" s="2">
        <v>70</v>
      </c>
      <c r="J173" s="2">
        <f>(D173/104)*1000</f>
        <v>19279.086538461539</v>
      </c>
      <c r="K173" s="2">
        <f>(E173/104)*1000</f>
        <v>-17788.942307692305</v>
      </c>
      <c r="L173" s="2">
        <f>(F173/104)*1000</f>
        <v>9110.5769230769238</v>
      </c>
      <c r="M173" s="2">
        <f>(F173/104)*1000</f>
        <v>9110.5769230769238</v>
      </c>
      <c r="N173" s="2">
        <f>(H173/104)*1000</f>
        <v>-21947.692307692309</v>
      </c>
      <c r="O173" s="2">
        <f>(I173/104)*1000</f>
        <v>673.07692307692309</v>
      </c>
      <c r="P173" s="8">
        <v>7.8045765532544387E-2</v>
      </c>
      <c r="Q173" s="8">
        <v>1.3892474112426036</v>
      </c>
      <c r="R173" s="8">
        <v>0.1382104858898498</v>
      </c>
      <c r="S173" s="8">
        <f>Tabelle1[[#This Row],[corr_x]]/1000</f>
        <v>19.279086538461538</v>
      </c>
      <c r="T173" s="8">
        <f>Tabelle1[[#This Row],[corr_y]]/1000</f>
        <v>-17.788942307692306</v>
      </c>
      <c r="U173" s="8">
        <f>Tabelle1[[#This Row],[corr_z]]/1000</f>
        <v>9.1105769230769234</v>
      </c>
      <c r="V173" s="8">
        <f>Tabelle1[[#This Row],[corr_soma_x]]/1000</f>
        <v>9.1105769230769234</v>
      </c>
      <c r="W173" s="8">
        <f>Tabelle1[[#This Row],[corr_soma_y]]/1000</f>
        <v>-21.947692307692307</v>
      </c>
      <c r="X173" s="8">
        <f>Tabelle1[[#This Row],[corr_soma_z]]/1000</f>
        <v>0.67307692307692313</v>
      </c>
    </row>
    <row r="174" spans="1:24" x14ac:dyDescent="0.35">
      <c r="A174" s="7" t="s">
        <v>11</v>
      </c>
      <c r="B174" s="7" t="s">
        <v>19</v>
      </c>
      <c r="C174" s="6">
        <v>5</v>
      </c>
      <c r="D174" s="2">
        <v>1972.42</v>
      </c>
      <c r="E174" s="2">
        <v>-1834.43</v>
      </c>
      <c r="F174" s="2">
        <v>980</v>
      </c>
      <c r="G174" s="2">
        <v>5031.3</v>
      </c>
      <c r="H174" s="2">
        <v>-2282.56</v>
      </c>
      <c r="I174" s="2">
        <v>70</v>
      </c>
      <c r="J174" s="2">
        <f>(D174/104)*1000</f>
        <v>18965.576923076922</v>
      </c>
      <c r="K174" s="2">
        <f>(E174/104)*1000</f>
        <v>-17638.75</v>
      </c>
      <c r="L174" s="2">
        <f>(F174/104)*1000</f>
        <v>9423.0769230769238</v>
      </c>
      <c r="M174" s="2">
        <f>(F174/104)*1000</f>
        <v>9423.0769230769238</v>
      </c>
      <c r="N174" s="2">
        <f>(H174/104)*1000</f>
        <v>-21947.692307692309</v>
      </c>
      <c r="O174" s="2">
        <f>(I174/104)*1000</f>
        <v>673.07692307692309</v>
      </c>
      <c r="P174" s="8">
        <v>5.4406342455621294E-2</v>
      </c>
      <c r="Q174" s="8">
        <v>2.8158099112426034</v>
      </c>
      <c r="R174" s="8">
        <v>0.32059342284934</v>
      </c>
      <c r="S174" s="8">
        <f>Tabelle1[[#This Row],[corr_x]]/1000</f>
        <v>18.96557692307692</v>
      </c>
      <c r="T174" s="8">
        <f>Tabelle1[[#This Row],[corr_y]]/1000</f>
        <v>-17.638750000000002</v>
      </c>
      <c r="U174" s="8">
        <f>Tabelle1[[#This Row],[corr_z]]/1000</f>
        <v>9.4230769230769234</v>
      </c>
      <c r="V174" s="8">
        <f>Tabelle1[[#This Row],[corr_soma_x]]/1000</f>
        <v>9.4230769230769234</v>
      </c>
      <c r="W174" s="8">
        <f>Tabelle1[[#This Row],[corr_soma_y]]/1000</f>
        <v>-21.947692307692307</v>
      </c>
      <c r="X174" s="8">
        <f>Tabelle1[[#This Row],[corr_soma_z]]/1000</f>
        <v>0.67307692307692313</v>
      </c>
    </row>
    <row r="175" spans="1:24" x14ac:dyDescent="0.35">
      <c r="A175" s="7" t="s">
        <v>11</v>
      </c>
      <c r="B175" s="7" t="s">
        <v>18</v>
      </c>
      <c r="C175" s="6">
        <v>20</v>
      </c>
      <c r="D175" s="2">
        <v>1952.845</v>
      </c>
      <c r="E175" s="2">
        <v>-1826.1100000000001</v>
      </c>
      <c r="F175" s="2">
        <v>997.5</v>
      </c>
      <c r="G175" s="2">
        <v>5031.3</v>
      </c>
      <c r="H175" s="2">
        <v>-2282.56</v>
      </c>
      <c r="I175" s="2">
        <v>70</v>
      </c>
      <c r="J175" s="2">
        <f>(D175/104)*1000</f>
        <v>18777.35576923077</v>
      </c>
      <c r="K175" s="2">
        <f>(E175/104)*1000</f>
        <v>-17558.75</v>
      </c>
      <c r="L175" s="2">
        <f>(F175/104)*1000</f>
        <v>9591.3461538461524</v>
      </c>
      <c r="M175" s="2">
        <f>(F175/104)*1000</f>
        <v>9591.3461538461524</v>
      </c>
      <c r="N175" s="2">
        <f>(H175/104)*1000</f>
        <v>-21947.692307692309</v>
      </c>
      <c r="O175" s="2">
        <f>(I175/104)*1000</f>
        <v>673.07692307692309</v>
      </c>
      <c r="P175" s="8">
        <v>2.8906712278106508E-2</v>
      </c>
      <c r="Q175" s="8">
        <v>1.1257303994082839</v>
      </c>
      <c r="R175" s="8">
        <v>0.1135470599112426</v>
      </c>
      <c r="S175" s="8">
        <f>Tabelle1[[#This Row],[corr_x]]/1000</f>
        <v>18.77735576923077</v>
      </c>
      <c r="T175" s="8">
        <f>Tabelle1[[#This Row],[corr_y]]/1000</f>
        <v>-17.55875</v>
      </c>
      <c r="U175" s="8">
        <f>Tabelle1[[#This Row],[corr_z]]/1000</f>
        <v>9.5913461538461533</v>
      </c>
      <c r="V175" s="8">
        <f>Tabelle1[[#This Row],[corr_soma_x]]/1000</f>
        <v>9.5913461538461533</v>
      </c>
      <c r="W175" s="8">
        <f>Tabelle1[[#This Row],[corr_soma_y]]/1000</f>
        <v>-21.947692307692307</v>
      </c>
      <c r="X175" s="8">
        <f>Tabelle1[[#This Row],[corr_soma_z]]/1000</f>
        <v>0.67307692307692313</v>
      </c>
    </row>
    <row r="176" spans="1:24" x14ac:dyDescent="0.35">
      <c r="A176" s="7" t="s">
        <v>11</v>
      </c>
      <c r="B176" s="7" t="s">
        <v>18</v>
      </c>
      <c r="C176" s="6">
        <v>21</v>
      </c>
      <c r="D176" s="2">
        <v>1916.2550000000001</v>
      </c>
      <c r="E176" s="2">
        <v>-1856.56</v>
      </c>
      <c r="F176" s="2">
        <v>1037.5</v>
      </c>
      <c r="G176" s="2">
        <v>5031.3</v>
      </c>
      <c r="H176" s="2">
        <v>-2282.56</v>
      </c>
      <c r="I176" s="2">
        <v>70</v>
      </c>
      <c r="J176" s="2">
        <f>(D176/104)*1000</f>
        <v>18425.528846153844</v>
      </c>
      <c r="K176" s="2">
        <f>(E176/104)*1000</f>
        <v>-17851.538461538461</v>
      </c>
      <c r="L176" s="2">
        <f>(F176/104)*1000</f>
        <v>9975.961538461539</v>
      </c>
      <c r="M176" s="2">
        <f>(F176/104)*1000</f>
        <v>9975.961538461539</v>
      </c>
      <c r="N176" s="2">
        <f>(H176/104)*1000</f>
        <v>-21947.692307692309</v>
      </c>
      <c r="O176" s="2">
        <f>(I176/104)*1000</f>
        <v>673.07692307692309</v>
      </c>
      <c r="P176" s="8">
        <v>3.5119637573964496E-2</v>
      </c>
      <c r="Q176" s="8">
        <v>1.175314349112426</v>
      </c>
      <c r="R176" s="8">
        <v>0.10190654159080564</v>
      </c>
      <c r="S176" s="8">
        <f>Tabelle1[[#This Row],[corr_x]]/1000</f>
        <v>18.425528846153846</v>
      </c>
      <c r="T176" s="8">
        <f>Tabelle1[[#This Row],[corr_y]]/1000</f>
        <v>-17.85153846153846</v>
      </c>
      <c r="U176" s="8">
        <f>Tabelle1[[#This Row],[corr_z]]/1000</f>
        <v>9.9759615384615383</v>
      </c>
      <c r="V176" s="8">
        <f>Tabelle1[[#This Row],[corr_soma_x]]/1000</f>
        <v>9.9759615384615383</v>
      </c>
      <c r="W176" s="8">
        <f>Tabelle1[[#This Row],[corr_soma_y]]/1000</f>
        <v>-21.947692307692307</v>
      </c>
      <c r="X176" s="8">
        <f>Tabelle1[[#This Row],[corr_soma_z]]/1000</f>
        <v>0.67307692307692313</v>
      </c>
    </row>
    <row r="177" spans="1:24" x14ac:dyDescent="0.35">
      <c r="A177" s="7" t="s">
        <v>11</v>
      </c>
      <c r="B177" s="7" t="s">
        <v>18</v>
      </c>
      <c r="C177" s="6">
        <v>22</v>
      </c>
      <c r="D177" s="2">
        <v>1970.88</v>
      </c>
      <c r="E177" s="2">
        <v>-1807.77</v>
      </c>
      <c r="F177" s="2">
        <v>1140</v>
      </c>
      <c r="G177" s="2">
        <v>5031.3</v>
      </c>
      <c r="H177" s="2">
        <v>-2282.56</v>
      </c>
      <c r="I177" s="2">
        <v>70</v>
      </c>
      <c r="J177" s="2">
        <f>(D177/104)*1000</f>
        <v>18950.769230769234</v>
      </c>
      <c r="K177" s="2">
        <f>(E177/104)*1000</f>
        <v>-17382.403846153844</v>
      </c>
      <c r="L177" s="2">
        <f>(F177/104)*1000</f>
        <v>10961.538461538461</v>
      </c>
      <c r="M177" s="2">
        <f>(F177/104)*1000</f>
        <v>10961.538461538461</v>
      </c>
      <c r="N177" s="2">
        <f>(H177/104)*1000</f>
        <v>-21947.692307692309</v>
      </c>
      <c r="O177" s="2">
        <f>(I177/104)*1000</f>
        <v>673.07692307692309</v>
      </c>
      <c r="P177" s="8">
        <v>6.7245469674556219E-2</v>
      </c>
      <c r="Q177" s="8">
        <v>1.9033191568047336</v>
      </c>
      <c r="R177" s="8">
        <v>0.19987838529813381</v>
      </c>
      <c r="S177" s="8">
        <f>Tabelle1[[#This Row],[corr_x]]/1000</f>
        <v>18.950769230769232</v>
      </c>
      <c r="T177" s="8">
        <f>Tabelle1[[#This Row],[corr_y]]/1000</f>
        <v>-17.382403846153842</v>
      </c>
      <c r="U177" s="8">
        <f>Tabelle1[[#This Row],[corr_z]]/1000</f>
        <v>10.961538461538462</v>
      </c>
      <c r="V177" s="8">
        <f>Tabelle1[[#This Row],[corr_soma_x]]/1000</f>
        <v>10.961538461538462</v>
      </c>
      <c r="W177" s="8">
        <f>Tabelle1[[#This Row],[corr_soma_y]]/1000</f>
        <v>-21.947692307692307</v>
      </c>
      <c r="X177" s="8">
        <f>Tabelle1[[#This Row],[corr_soma_z]]/1000</f>
        <v>0.67307692307692313</v>
      </c>
    </row>
    <row r="178" spans="1:24" x14ac:dyDescent="0.35">
      <c r="A178" s="7" t="s">
        <v>11</v>
      </c>
      <c r="B178" s="7" t="s">
        <v>18</v>
      </c>
      <c r="C178" s="6">
        <v>23</v>
      </c>
      <c r="D178" s="2">
        <v>1950.23</v>
      </c>
      <c r="E178" s="2">
        <v>-1805.85</v>
      </c>
      <c r="F178" s="2">
        <v>1155</v>
      </c>
      <c r="G178" s="2">
        <v>5031.3</v>
      </c>
      <c r="H178" s="2">
        <v>-2282.56</v>
      </c>
      <c r="I178" s="2">
        <v>70</v>
      </c>
      <c r="J178" s="2">
        <f>(D178/104)*1000</f>
        <v>18752.211538461539</v>
      </c>
      <c r="K178" s="2">
        <f>(E178/104)*1000</f>
        <v>-17363.942307692305</v>
      </c>
      <c r="L178" s="2">
        <f>(F178/104)*1000</f>
        <v>11105.76923076923</v>
      </c>
      <c r="M178" s="2">
        <f>(F178/104)*1000</f>
        <v>11105.76923076923</v>
      </c>
      <c r="N178" s="2">
        <f>(H178/104)*1000</f>
        <v>-21947.692307692309</v>
      </c>
      <c r="O178" s="2">
        <f>(I178/104)*1000</f>
        <v>673.07692307692309</v>
      </c>
      <c r="P178" s="8">
        <v>3.5682322485207099E-2</v>
      </c>
      <c r="Q178" s="8">
        <v>0.56090791420118336</v>
      </c>
      <c r="R178" s="8">
        <v>4.4213967199590351E-2</v>
      </c>
      <c r="S178" s="8">
        <f>Tabelle1[[#This Row],[corr_x]]/1000</f>
        <v>18.752211538461538</v>
      </c>
      <c r="T178" s="8">
        <f>Tabelle1[[#This Row],[corr_y]]/1000</f>
        <v>-17.363942307692305</v>
      </c>
      <c r="U178" s="8">
        <f>Tabelle1[[#This Row],[corr_z]]/1000</f>
        <v>11.10576923076923</v>
      </c>
      <c r="V178" s="8">
        <f>Tabelle1[[#This Row],[corr_soma_x]]/1000</f>
        <v>11.10576923076923</v>
      </c>
      <c r="W178" s="8">
        <f>Tabelle1[[#This Row],[corr_soma_y]]/1000</f>
        <v>-21.947692307692307</v>
      </c>
      <c r="X178" s="8">
        <f>Tabelle1[[#This Row],[corr_soma_z]]/1000</f>
        <v>0.67307692307692313</v>
      </c>
    </row>
    <row r="179" spans="1:24" x14ac:dyDescent="0.35">
      <c r="A179" s="7" t="s">
        <v>11</v>
      </c>
      <c r="B179" s="7" t="s">
        <v>18</v>
      </c>
      <c r="C179" s="6">
        <v>24</v>
      </c>
      <c r="D179" s="2">
        <v>1889.27</v>
      </c>
      <c r="E179" s="2">
        <v>-1757.4</v>
      </c>
      <c r="F179" s="2">
        <v>1205</v>
      </c>
      <c r="G179" s="2">
        <v>5031.3</v>
      </c>
      <c r="H179" s="2">
        <v>-2282.56</v>
      </c>
      <c r="I179" s="2">
        <v>70</v>
      </c>
      <c r="J179" s="2">
        <f>(D179/104)*1000</f>
        <v>18166.057692307691</v>
      </c>
      <c r="K179" s="2">
        <f>(E179/104)*1000</f>
        <v>-16898.076923076926</v>
      </c>
      <c r="L179" s="2">
        <f>(F179/104)*1000</f>
        <v>11586.538461538461</v>
      </c>
      <c r="M179" s="2">
        <f>(F179/104)*1000</f>
        <v>11586.538461538461</v>
      </c>
      <c r="N179" s="2">
        <f>(H179/104)*1000</f>
        <v>-21947.692307692309</v>
      </c>
      <c r="O179" s="2">
        <f>(I179/104)*1000</f>
        <v>673.07692307692309</v>
      </c>
      <c r="P179" s="8">
        <v>2.7377681213017754E-2</v>
      </c>
      <c r="Q179" s="8">
        <v>0.35199241863905328</v>
      </c>
      <c r="R179" s="8">
        <v>2.0584443986117435E-2</v>
      </c>
      <c r="S179" s="8">
        <f>Tabelle1[[#This Row],[corr_x]]/1000</f>
        <v>18.166057692307692</v>
      </c>
      <c r="T179" s="8">
        <f>Tabelle1[[#This Row],[corr_y]]/1000</f>
        <v>-16.898076923076925</v>
      </c>
      <c r="U179" s="8">
        <f>Tabelle1[[#This Row],[corr_z]]/1000</f>
        <v>11.586538461538462</v>
      </c>
      <c r="V179" s="8">
        <f>Tabelle1[[#This Row],[corr_soma_x]]/1000</f>
        <v>11.586538461538462</v>
      </c>
      <c r="W179" s="8">
        <f>Tabelle1[[#This Row],[corr_soma_y]]/1000</f>
        <v>-21.947692307692307</v>
      </c>
      <c r="X179" s="8">
        <f>Tabelle1[[#This Row],[corr_soma_z]]/1000</f>
        <v>0.67307692307692313</v>
      </c>
    </row>
    <row r="180" spans="1:24" x14ac:dyDescent="0.35">
      <c r="A180" s="7" t="s">
        <v>11</v>
      </c>
      <c r="B180" s="7" t="s">
        <v>18</v>
      </c>
      <c r="C180" s="6">
        <v>25</v>
      </c>
      <c r="D180" s="2">
        <v>1942.78</v>
      </c>
      <c r="E180" s="2">
        <v>-1836.26</v>
      </c>
      <c r="F180" s="2">
        <v>1240</v>
      </c>
      <c r="G180" s="2">
        <v>5031.3</v>
      </c>
      <c r="H180" s="2">
        <v>-2282.56</v>
      </c>
      <c r="I180" s="2">
        <v>70</v>
      </c>
      <c r="J180" s="2">
        <f>(D180/104)*1000</f>
        <v>18680.576923076922</v>
      </c>
      <c r="K180" s="2">
        <f>(E180/104)*1000</f>
        <v>-17656.346153846156</v>
      </c>
      <c r="L180" s="2">
        <f>(F180/104)*1000</f>
        <v>11923.076923076924</v>
      </c>
      <c r="M180" s="2">
        <f>(F180/104)*1000</f>
        <v>11923.076923076924</v>
      </c>
      <c r="N180" s="2">
        <f>(H180/104)*1000</f>
        <v>-21947.692307692309</v>
      </c>
      <c r="O180" s="2">
        <f>(I180/104)*1000</f>
        <v>673.07692307692309</v>
      </c>
      <c r="P180" s="8">
        <v>4.4785225591715973E-2</v>
      </c>
      <c r="Q180" s="8">
        <v>0.55276997041420117</v>
      </c>
      <c r="R180" s="8">
        <v>4.5723216317705963E-2</v>
      </c>
      <c r="S180" s="8">
        <f>Tabelle1[[#This Row],[corr_x]]/1000</f>
        <v>18.680576923076924</v>
      </c>
      <c r="T180" s="8">
        <f>Tabelle1[[#This Row],[corr_y]]/1000</f>
        <v>-17.656346153846155</v>
      </c>
      <c r="U180" s="8">
        <f>Tabelle1[[#This Row],[corr_z]]/1000</f>
        <v>11.923076923076923</v>
      </c>
      <c r="V180" s="8">
        <f>Tabelle1[[#This Row],[corr_soma_x]]/1000</f>
        <v>11.923076923076923</v>
      </c>
      <c r="W180" s="8">
        <f>Tabelle1[[#This Row],[corr_soma_y]]/1000</f>
        <v>-21.947692307692307</v>
      </c>
      <c r="X180" s="8">
        <f>Tabelle1[[#This Row],[corr_soma_z]]/1000</f>
        <v>0.67307692307692313</v>
      </c>
    </row>
    <row r="181" spans="1:24" x14ac:dyDescent="0.35">
      <c r="A181" s="7" t="s">
        <v>11</v>
      </c>
      <c r="B181" s="7" t="s">
        <v>18</v>
      </c>
      <c r="C181" s="6">
        <v>26</v>
      </c>
      <c r="D181" s="2">
        <v>1836.55</v>
      </c>
      <c r="E181" s="2">
        <v>-1721.8200000000002</v>
      </c>
      <c r="F181" s="2">
        <v>1252.5</v>
      </c>
      <c r="G181" s="2">
        <v>5031.3</v>
      </c>
      <c r="H181" s="2">
        <v>-2282.56</v>
      </c>
      <c r="I181" s="2">
        <v>70</v>
      </c>
      <c r="J181" s="2">
        <f>(D181/104)*1000</f>
        <v>17659.134615384617</v>
      </c>
      <c r="K181" s="2">
        <f>(E181/104)*1000</f>
        <v>-16555.961538461539</v>
      </c>
      <c r="L181" s="2">
        <f>(F181/104)*1000</f>
        <v>12043.26923076923</v>
      </c>
      <c r="M181" s="2">
        <f>(F181/104)*1000</f>
        <v>12043.26923076923</v>
      </c>
      <c r="N181" s="2">
        <f>(H181/104)*1000</f>
        <v>-21947.692307692309</v>
      </c>
      <c r="O181" s="2">
        <f>(I181/104)*1000</f>
        <v>673.07692307692309</v>
      </c>
      <c r="P181" s="8">
        <v>2.1698224852071006E-2</v>
      </c>
      <c r="Q181" s="8">
        <v>1.2544008875739645</v>
      </c>
      <c r="R181" s="8">
        <v>0.12149379836140191</v>
      </c>
      <c r="S181" s="8">
        <f>Tabelle1[[#This Row],[corr_x]]/1000</f>
        <v>17.659134615384616</v>
      </c>
      <c r="T181" s="8">
        <f>Tabelle1[[#This Row],[corr_y]]/1000</f>
        <v>-16.555961538461538</v>
      </c>
      <c r="U181" s="8">
        <f>Tabelle1[[#This Row],[corr_z]]/1000</f>
        <v>12.04326923076923</v>
      </c>
      <c r="V181" s="8">
        <f>Tabelle1[[#This Row],[corr_soma_x]]/1000</f>
        <v>12.04326923076923</v>
      </c>
      <c r="W181" s="8">
        <f>Tabelle1[[#This Row],[corr_soma_y]]/1000</f>
        <v>-21.947692307692307</v>
      </c>
      <c r="X181" s="8">
        <f>Tabelle1[[#This Row],[corr_soma_z]]/1000</f>
        <v>0.67307692307692313</v>
      </c>
    </row>
    <row r="182" spans="1:24" x14ac:dyDescent="0.35">
      <c r="A182" s="7" t="s">
        <v>11</v>
      </c>
      <c r="B182" s="7" t="s">
        <v>18</v>
      </c>
      <c r="C182" s="6">
        <v>27</v>
      </c>
      <c r="D182" s="2">
        <v>1770.52</v>
      </c>
      <c r="E182" s="2">
        <v>-1680.71</v>
      </c>
      <c r="F182" s="2">
        <v>1327.5</v>
      </c>
      <c r="G182" s="2">
        <v>5031.3</v>
      </c>
      <c r="H182" s="2">
        <v>-2282.56</v>
      </c>
      <c r="I182" s="2">
        <v>70</v>
      </c>
      <c r="J182" s="2">
        <f>(D182/104)*1000</f>
        <v>17024.23076923077</v>
      </c>
      <c r="K182" s="2">
        <f>(E182/104)*1000</f>
        <v>-16160.673076923078</v>
      </c>
      <c r="L182" s="2">
        <f>(F182/104)*1000</f>
        <v>12764.423076923076</v>
      </c>
      <c r="M182" s="2">
        <f>(F182/104)*1000</f>
        <v>12764.423076923076</v>
      </c>
      <c r="N182" s="2">
        <f>(H182/104)*1000</f>
        <v>-21947.692307692309</v>
      </c>
      <c r="O182" s="2">
        <f>(I182/104)*1000</f>
        <v>673.07692307692309</v>
      </c>
      <c r="P182" s="8">
        <v>1.8667437130177517E-2</v>
      </c>
      <c r="Q182" s="8">
        <v>0.27846616124260354</v>
      </c>
      <c r="R182" s="8">
        <v>1.4981722234865727E-2</v>
      </c>
      <c r="S182" s="8">
        <f>Tabelle1[[#This Row],[corr_x]]/1000</f>
        <v>17.024230769230769</v>
      </c>
      <c r="T182" s="8">
        <f>Tabelle1[[#This Row],[corr_y]]/1000</f>
        <v>-16.160673076923079</v>
      </c>
      <c r="U182" s="8">
        <f>Tabelle1[[#This Row],[corr_z]]/1000</f>
        <v>12.764423076923077</v>
      </c>
      <c r="V182" s="8">
        <f>Tabelle1[[#This Row],[corr_soma_x]]/1000</f>
        <v>12.764423076923077</v>
      </c>
      <c r="W182" s="8">
        <f>Tabelle1[[#This Row],[corr_soma_y]]/1000</f>
        <v>-21.947692307692307</v>
      </c>
      <c r="X182" s="8">
        <f>Tabelle1[[#This Row],[corr_soma_z]]/1000</f>
        <v>0.67307692307692313</v>
      </c>
    </row>
    <row r="183" spans="1:24" x14ac:dyDescent="0.35">
      <c r="A183" s="7" t="s">
        <v>11</v>
      </c>
      <c r="B183" s="7" t="s">
        <v>19</v>
      </c>
      <c r="C183" s="6">
        <v>6</v>
      </c>
      <c r="D183" s="2">
        <v>1694.0949999999998</v>
      </c>
      <c r="E183" s="2">
        <v>-1697.1550000000002</v>
      </c>
      <c r="F183" s="2">
        <v>1397.5</v>
      </c>
      <c r="G183" s="2">
        <v>5031.3</v>
      </c>
      <c r="H183" s="2">
        <v>-2282.56</v>
      </c>
      <c r="I183" s="2">
        <v>70</v>
      </c>
      <c r="J183" s="2">
        <f>(D183/104)*1000</f>
        <v>16289.375</v>
      </c>
      <c r="K183" s="2">
        <f>(E183/104)*1000</f>
        <v>-16318.79807692308</v>
      </c>
      <c r="L183" s="2">
        <f>(F183/104)*1000</f>
        <v>13437.5</v>
      </c>
      <c r="M183" s="2">
        <f>(F183/104)*1000</f>
        <v>13437.5</v>
      </c>
      <c r="N183" s="2">
        <f>(H183/104)*1000</f>
        <v>-21947.692307692309</v>
      </c>
      <c r="O183" s="2">
        <f>(I183/104)*1000</f>
        <v>673.07692307692309</v>
      </c>
      <c r="P183" s="8">
        <v>5.544350961538462E-2</v>
      </c>
      <c r="Q183" s="8">
        <v>1.7202570266272188</v>
      </c>
      <c r="R183" s="8">
        <v>0.22577840521165227</v>
      </c>
      <c r="S183" s="8">
        <f>Tabelle1[[#This Row],[corr_x]]/1000</f>
        <v>16.289375</v>
      </c>
      <c r="T183" s="8">
        <f>Tabelle1[[#This Row],[corr_y]]/1000</f>
        <v>-16.31879807692308</v>
      </c>
      <c r="U183" s="8">
        <f>Tabelle1[[#This Row],[corr_z]]/1000</f>
        <v>13.4375</v>
      </c>
      <c r="V183" s="8">
        <f>Tabelle1[[#This Row],[corr_soma_x]]/1000</f>
        <v>13.4375</v>
      </c>
      <c r="W183" s="8">
        <f>Tabelle1[[#This Row],[corr_soma_y]]/1000</f>
        <v>-21.947692307692307</v>
      </c>
      <c r="X183" s="8">
        <f>Tabelle1[[#This Row],[corr_soma_z]]/1000</f>
        <v>0.67307692307692313</v>
      </c>
    </row>
    <row r="184" spans="1:24" x14ac:dyDescent="0.35">
      <c r="A184" s="7" t="s">
        <v>11</v>
      </c>
      <c r="B184" s="7" t="s">
        <v>18</v>
      </c>
      <c r="C184" s="6">
        <v>28</v>
      </c>
      <c r="D184" s="2">
        <v>1686.64</v>
      </c>
      <c r="E184" s="2">
        <v>-1698.84</v>
      </c>
      <c r="F184" s="2">
        <v>1425</v>
      </c>
      <c r="G184" s="2">
        <v>5031.3</v>
      </c>
      <c r="H184" s="2">
        <v>-2282.56</v>
      </c>
      <c r="I184" s="2">
        <v>70</v>
      </c>
      <c r="J184" s="2">
        <f>(D184/104)*1000</f>
        <v>16217.69230769231</v>
      </c>
      <c r="K184" s="2">
        <f>(E184/104)*1000</f>
        <v>-16335</v>
      </c>
      <c r="L184" s="2">
        <f>(F184/104)*1000</f>
        <v>13701.923076923076</v>
      </c>
      <c r="M184" s="2">
        <f>(F184/104)*1000</f>
        <v>13701.923076923076</v>
      </c>
      <c r="N184" s="2">
        <f>(H184/104)*1000</f>
        <v>-21947.692307692309</v>
      </c>
      <c r="O184" s="2">
        <f>(I184/104)*1000</f>
        <v>673.07692307692309</v>
      </c>
      <c r="P184" s="8">
        <v>1.7867326183431953E-2</v>
      </c>
      <c r="Q184" s="8">
        <v>0.82646449704142022</v>
      </c>
      <c r="R184" s="8">
        <v>7.8406811845698685E-2</v>
      </c>
      <c r="S184" s="8">
        <f>Tabelle1[[#This Row],[corr_x]]/1000</f>
        <v>16.21769230769231</v>
      </c>
      <c r="T184" s="8">
        <f>Tabelle1[[#This Row],[corr_y]]/1000</f>
        <v>-16.335000000000001</v>
      </c>
      <c r="U184" s="8">
        <f>Tabelle1[[#This Row],[corr_z]]/1000</f>
        <v>13.701923076923077</v>
      </c>
      <c r="V184" s="8">
        <f>Tabelle1[[#This Row],[corr_soma_x]]/1000</f>
        <v>13.701923076923077</v>
      </c>
      <c r="W184" s="8">
        <f>Tabelle1[[#This Row],[corr_soma_y]]/1000</f>
        <v>-21.947692307692307</v>
      </c>
      <c r="X184" s="8">
        <f>Tabelle1[[#This Row],[corr_soma_z]]/1000</f>
        <v>0.67307692307692313</v>
      </c>
    </row>
    <row r="185" spans="1:24" x14ac:dyDescent="0.35">
      <c r="A185" s="7" t="s">
        <v>11</v>
      </c>
      <c r="B185" s="7" t="s">
        <v>19</v>
      </c>
      <c r="C185" s="6">
        <v>7</v>
      </c>
      <c r="D185" s="2">
        <v>1631.59</v>
      </c>
      <c r="E185" s="2">
        <v>-1611.0900000000001</v>
      </c>
      <c r="F185" s="2">
        <v>1442.5</v>
      </c>
      <c r="G185" s="2">
        <v>5031.3</v>
      </c>
      <c r="H185" s="2">
        <v>-2282.56</v>
      </c>
      <c r="I185" s="2">
        <v>70</v>
      </c>
      <c r="J185" s="2">
        <f>(D185/104)*1000</f>
        <v>15688.365384615385</v>
      </c>
      <c r="K185" s="2">
        <f>(E185/104)*1000</f>
        <v>-15491.25</v>
      </c>
      <c r="L185" s="2">
        <f>(F185/104)*1000</f>
        <v>13870.192307692309</v>
      </c>
      <c r="M185" s="2">
        <f>(F185/104)*1000</f>
        <v>13870.192307692309</v>
      </c>
      <c r="N185" s="2">
        <f>(H185/104)*1000</f>
        <v>-21947.692307692309</v>
      </c>
      <c r="O185" s="2">
        <f>(I185/104)*1000</f>
        <v>673.07692307692309</v>
      </c>
      <c r="P185" s="8">
        <v>0.10345414201183432</v>
      </c>
      <c r="Q185" s="8">
        <v>1.3825813609467457</v>
      </c>
      <c r="R185" s="8">
        <v>0.1431133008079199</v>
      </c>
      <c r="S185" s="8">
        <f>Tabelle1[[#This Row],[corr_x]]/1000</f>
        <v>15.688365384615384</v>
      </c>
      <c r="T185" s="8">
        <f>Tabelle1[[#This Row],[corr_y]]/1000</f>
        <v>-15.491250000000001</v>
      </c>
      <c r="U185" s="8">
        <f>Tabelle1[[#This Row],[corr_z]]/1000</f>
        <v>13.870192307692308</v>
      </c>
      <c r="V185" s="8">
        <f>Tabelle1[[#This Row],[corr_soma_x]]/1000</f>
        <v>13.870192307692308</v>
      </c>
      <c r="W185" s="8">
        <f>Tabelle1[[#This Row],[corr_soma_y]]/1000</f>
        <v>-21.947692307692307</v>
      </c>
      <c r="X185" s="8">
        <f>Tabelle1[[#This Row],[corr_soma_z]]/1000</f>
        <v>0.67307692307692313</v>
      </c>
    </row>
    <row r="186" spans="1:24" x14ac:dyDescent="0.35">
      <c r="A186" s="7" t="s">
        <v>11</v>
      </c>
      <c r="B186" s="7" t="s">
        <v>18</v>
      </c>
      <c r="C186" s="6">
        <v>29</v>
      </c>
      <c r="D186" s="2">
        <v>1619.0149999999999</v>
      </c>
      <c r="E186" s="2">
        <v>-1678.23</v>
      </c>
      <c r="F186" s="2">
        <v>1567.5</v>
      </c>
      <c r="G186" s="2">
        <v>5031.3</v>
      </c>
      <c r="H186" s="2">
        <v>-2282.56</v>
      </c>
      <c r="I186" s="2">
        <v>70</v>
      </c>
      <c r="J186" s="2">
        <f>(D186/104)*1000</f>
        <v>15567.451923076922</v>
      </c>
      <c r="K186" s="2">
        <f>(E186/104)*1000</f>
        <v>-16136.826923076924</v>
      </c>
      <c r="L186" s="2">
        <f>(F186/104)*1000</f>
        <v>15072.115384615385</v>
      </c>
      <c r="M186" s="2">
        <f>(F186/104)*1000</f>
        <v>15072.115384615385</v>
      </c>
      <c r="N186" s="2">
        <f>(H186/104)*1000</f>
        <v>-21947.692307692309</v>
      </c>
      <c r="O186" s="2">
        <f>(I186/104)*1000</f>
        <v>673.07692307692309</v>
      </c>
      <c r="P186" s="8">
        <v>2.3731601331360944E-2</v>
      </c>
      <c r="Q186" s="8">
        <v>1.1967455621301775</v>
      </c>
      <c r="R186" s="8">
        <v>0.12650329284251252</v>
      </c>
      <c r="S186" s="8">
        <f>Tabelle1[[#This Row],[corr_x]]/1000</f>
        <v>15.567451923076922</v>
      </c>
      <c r="T186" s="8">
        <f>Tabelle1[[#This Row],[corr_y]]/1000</f>
        <v>-16.136826923076924</v>
      </c>
      <c r="U186" s="8">
        <f>Tabelle1[[#This Row],[corr_z]]/1000</f>
        <v>15.072115384615385</v>
      </c>
      <c r="V186" s="8">
        <f>Tabelle1[[#This Row],[corr_soma_x]]/1000</f>
        <v>15.072115384615385</v>
      </c>
      <c r="W186" s="8">
        <f>Tabelle1[[#This Row],[corr_soma_y]]/1000</f>
        <v>-21.947692307692307</v>
      </c>
      <c r="X186" s="8">
        <f>Tabelle1[[#This Row],[corr_soma_z]]/1000</f>
        <v>0.67307692307692313</v>
      </c>
    </row>
    <row r="187" spans="1:24" x14ac:dyDescent="0.35">
      <c r="A187" s="7" t="s">
        <v>11</v>
      </c>
      <c r="B187" s="7" t="s">
        <v>19</v>
      </c>
      <c r="C187" s="6">
        <v>8</v>
      </c>
      <c r="D187" s="2">
        <v>1555.87</v>
      </c>
      <c r="E187" s="2">
        <v>-1639.7849999999999</v>
      </c>
      <c r="F187" s="2">
        <v>1527.5</v>
      </c>
      <c r="G187" s="2">
        <v>5031.3</v>
      </c>
      <c r="H187" s="2">
        <v>-2282.56</v>
      </c>
      <c r="I187" s="2">
        <v>70</v>
      </c>
      <c r="J187" s="2">
        <f>(D187/104)*1000</f>
        <v>14960.288461538461</v>
      </c>
      <c r="K187" s="2">
        <f>(E187/104)*1000</f>
        <v>-15767.163461538461</v>
      </c>
      <c r="L187" s="2">
        <f>(F187/104)*1000</f>
        <v>14687.5</v>
      </c>
      <c r="M187" s="2">
        <f>(F187/104)*1000</f>
        <v>14687.5</v>
      </c>
      <c r="N187" s="2">
        <f>(H187/104)*1000</f>
        <v>-21947.692307692309</v>
      </c>
      <c r="O187" s="2">
        <f>(I187/104)*1000</f>
        <v>673.07692307692309</v>
      </c>
      <c r="P187" s="8">
        <v>2.4711446005917161E-2</v>
      </c>
      <c r="Q187" s="8">
        <v>1.3853827662721894</v>
      </c>
      <c r="R187" s="8">
        <v>0.15309317393035959</v>
      </c>
      <c r="S187" s="8">
        <f>Tabelle1[[#This Row],[corr_x]]/1000</f>
        <v>14.960288461538461</v>
      </c>
      <c r="T187" s="8">
        <f>Tabelle1[[#This Row],[corr_y]]/1000</f>
        <v>-15.767163461538461</v>
      </c>
      <c r="U187" s="8">
        <f>Tabelle1[[#This Row],[corr_z]]/1000</f>
        <v>14.6875</v>
      </c>
      <c r="V187" s="8">
        <f>Tabelle1[[#This Row],[corr_soma_x]]/1000</f>
        <v>14.6875</v>
      </c>
      <c r="W187" s="8">
        <f>Tabelle1[[#This Row],[corr_soma_y]]/1000</f>
        <v>-21.947692307692307</v>
      </c>
      <c r="X187" s="8">
        <f>Tabelle1[[#This Row],[corr_soma_z]]/1000</f>
        <v>0.67307692307692313</v>
      </c>
    </row>
    <row r="188" spans="1:24" x14ac:dyDescent="0.35">
      <c r="A188" s="7" t="s">
        <v>11</v>
      </c>
      <c r="B188" s="7" t="s">
        <v>18</v>
      </c>
      <c r="C188" s="6">
        <v>30</v>
      </c>
      <c r="D188" s="2">
        <v>1657.01</v>
      </c>
      <c r="E188" s="2">
        <v>-1654.68</v>
      </c>
      <c r="F188" s="2">
        <v>1525</v>
      </c>
      <c r="G188" s="2">
        <v>5031.3</v>
      </c>
      <c r="H188" s="2">
        <v>-2282.56</v>
      </c>
      <c r="I188" s="2">
        <v>70</v>
      </c>
      <c r="J188" s="2">
        <f>(D188/104)*1000</f>
        <v>15932.788461538461</v>
      </c>
      <c r="K188" s="2">
        <f>(E188/104)*1000</f>
        <v>-15910.384615384617</v>
      </c>
      <c r="L188" s="2">
        <f>(F188/104)*1000</f>
        <v>14663.461538461539</v>
      </c>
      <c r="M188" s="2">
        <f>(F188/104)*1000</f>
        <v>14663.461538461539</v>
      </c>
      <c r="N188" s="2">
        <f>(H188/104)*1000</f>
        <v>-21947.692307692309</v>
      </c>
      <c r="O188" s="2">
        <f>(I188/104)*1000</f>
        <v>673.07692307692309</v>
      </c>
      <c r="P188" s="8">
        <v>1.1248798076923076E-2</v>
      </c>
      <c r="Q188" s="8">
        <v>0.86046227810650888</v>
      </c>
      <c r="R188" s="8">
        <v>5.2316280012517064E-2</v>
      </c>
      <c r="S188" s="8">
        <f>Tabelle1[[#This Row],[corr_x]]/1000</f>
        <v>15.932788461538461</v>
      </c>
      <c r="T188" s="8">
        <f>Tabelle1[[#This Row],[corr_y]]/1000</f>
        <v>-15.910384615384617</v>
      </c>
      <c r="U188" s="8">
        <f>Tabelle1[[#This Row],[corr_z]]/1000</f>
        <v>14.663461538461538</v>
      </c>
      <c r="V188" s="8">
        <f>Tabelle1[[#This Row],[corr_soma_x]]/1000</f>
        <v>14.663461538461538</v>
      </c>
      <c r="W188" s="8">
        <f>Tabelle1[[#This Row],[corr_soma_y]]/1000</f>
        <v>-21.947692307692307</v>
      </c>
      <c r="X188" s="8">
        <f>Tabelle1[[#This Row],[corr_soma_z]]/1000</f>
        <v>0.67307692307692313</v>
      </c>
    </row>
    <row r="189" spans="1:24" x14ac:dyDescent="0.35">
      <c r="A189" s="7" t="s">
        <v>11</v>
      </c>
      <c r="B189" s="7" t="s">
        <v>18</v>
      </c>
      <c r="C189" s="6">
        <v>31</v>
      </c>
      <c r="D189" s="2">
        <v>1633.94</v>
      </c>
      <c r="E189" s="2">
        <v>-1673.36</v>
      </c>
      <c r="F189" s="2">
        <v>1550</v>
      </c>
      <c r="G189" s="2">
        <v>5031.3</v>
      </c>
      <c r="H189" s="2">
        <v>-2282.56</v>
      </c>
      <c r="I189" s="2">
        <v>70</v>
      </c>
      <c r="J189" s="2">
        <f>(D189/104)*1000</f>
        <v>15710.961538461539</v>
      </c>
      <c r="K189" s="2">
        <f>(E189/104)*1000</f>
        <v>-16090</v>
      </c>
      <c r="L189" s="2">
        <f>(F189/104)*1000</f>
        <v>14903.846153846152</v>
      </c>
      <c r="M189" s="2">
        <f>(F189/104)*1000</f>
        <v>14903.846153846152</v>
      </c>
      <c r="N189" s="2">
        <f>(H189/104)*1000</f>
        <v>-21947.692307692309</v>
      </c>
      <c r="O189" s="2">
        <f>(I189/104)*1000</f>
        <v>673.07692307692309</v>
      </c>
      <c r="P189" s="8">
        <v>2.728753698224852E-2</v>
      </c>
      <c r="Q189" s="8">
        <v>2.0953587278106509</v>
      </c>
      <c r="R189" s="8">
        <v>0.19501557521620391</v>
      </c>
      <c r="S189" s="8">
        <f>Tabelle1[[#This Row],[corr_x]]/1000</f>
        <v>15.71096153846154</v>
      </c>
      <c r="T189" s="8">
        <f>Tabelle1[[#This Row],[corr_y]]/1000</f>
        <v>-16.09</v>
      </c>
      <c r="U189" s="8">
        <f>Tabelle1[[#This Row],[corr_z]]/1000</f>
        <v>14.903846153846153</v>
      </c>
      <c r="V189" s="8">
        <f>Tabelle1[[#This Row],[corr_soma_x]]/1000</f>
        <v>14.903846153846153</v>
      </c>
      <c r="W189" s="8">
        <f>Tabelle1[[#This Row],[corr_soma_y]]/1000</f>
        <v>-21.947692307692307</v>
      </c>
      <c r="X189" s="8">
        <f>Tabelle1[[#This Row],[corr_soma_z]]/1000</f>
        <v>0.67307692307692313</v>
      </c>
    </row>
    <row r="190" spans="1:24" x14ac:dyDescent="0.35">
      <c r="A190" s="7" t="s">
        <v>11</v>
      </c>
      <c r="B190" s="7" t="s">
        <v>18</v>
      </c>
      <c r="C190" s="6">
        <v>32</v>
      </c>
      <c r="D190" s="2">
        <v>1596.67</v>
      </c>
      <c r="E190" s="2">
        <v>-1676.86</v>
      </c>
      <c r="F190" s="2">
        <v>1670</v>
      </c>
      <c r="G190" s="2">
        <v>5031.3</v>
      </c>
      <c r="H190" s="2">
        <v>-2282.56</v>
      </c>
      <c r="I190" s="2">
        <v>70</v>
      </c>
      <c r="J190" s="2">
        <f>(D190/104)*1000</f>
        <v>15352.596153846154</v>
      </c>
      <c r="K190" s="2">
        <f>(E190/104)*1000</f>
        <v>-16123.653846153846</v>
      </c>
      <c r="L190" s="2">
        <f>(F190/104)*1000</f>
        <v>16057.692307692307</v>
      </c>
      <c r="M190" s="2">
        <f>(F190/104)*1000</f>
        <v>16057.692307692307</v>
      </c>
      <c r="N190" s="2">
        <f>(H190/104)*1000</f>
        <v>-21947.692307692309</v>
      </c>
      <c r="O190" s="2">
        <f>(I190/104)*1000</f>
        <v>673.07692307692309</v>
      </c>
      <c r="P190" s="8">
        <v>3.4506749260355032E-2</v>
      </c>
      <c r="Q190" s="8">
        <v>0.6811066937869823</v>
      </c>
      <c r="R190" s="8">
        <v>5.8062574675694131E-2</v>
      </c>
      <c r="S190" s="8">
        <f>Tabelle1[[#This Row],[corr_x]]/1000</f>
        <v>15.352596153846154</v>
      </c>
      <c r="T190" s="8">
        <f>Tabelle1[[#This Row],[corr_y]]/1000</f>
        <v>-16.123653846153847</v>
      </c>
      <c r="U190" s="8">
        <f>Tabelle1[[#This Row],[corr_z]]/1000</f>
        <v>16.057692307692307</v>
      </c>
      <c r="V190" s="8">
        <f>Tabelle1[[#This Row],[corr_soma_x]]/1000</f>
        <v>16.057692307692307</v>
      </c>
      <c r="W190" s="8">
        <f>Tabelle1[[#This Row],[corr_soma_y]]/1000</f>
        <v>-21.947692307692307</v>
      </c>
      <c r="X190" s="8">
        <f>Tabelle1[[#This Row],[corr_soma_z]]/1000</f>
        <v>0.67307692307692313</v>
      </c>
    </row>
    <row r="191" spans="1:24" x14ac:dyDescent="0.35">
      <c r="A191" s="7" t="s">
        <v>11</v>
      </c>
      <c r="B191" s="7" t="s">
        <v>18</v>
      </c>
      <c r="C191" s="6">
        <v>33</v>
      </c>
      <c r="D191" s="2">
        <v>1552.5050000000001</v>
      </c>
      <c r="E191" s="2">
        <v>-1669.49</v>
      </c>
      <c r="F191" s="2">
        <v>1767.5</v>
      </c>
      <c r="G191" s="2">
        <v>5031.3</v>
      </c>
      <c r="H191" s="2">
        <v>-2282.56</v>
      </c>
      <c r="I191" s="2">
        <v>70</v>
      </c>
      <c r="J191" s="2">
        <f>(D191/104)*1000</f>
        <v>14927.932692307693</v>
      </c>
      <c r="K191" s="2">
        <f>(E191/104)*1000</f>
        <v>-16052.788461538463</v>
      </c>
      <c r="L191" s="2">
        <f>(F191/104)*1000</f>
        <v>16995.192307692305</v>
      </c>
      <c r="M191" s="2">
        <f>(F191/104)*1000</f>
        <v>16995.192307692305</v>
      </c>
      <c r="N191" s="2">
        <f>(H191/104)*1000</f>
        <v>-21947.692307692309</v>
      </c>
      <c r="O191" s="2">
        <f>(I191/104)*1000</f>
        <v>673.07692307692309</v>
      </c>
      <c r="P191" s="8">
        <v>9.4382396449704142E-2</v>
      </c>
      <c r="Q191" s="8">
        <v>1.0631749260355028</v>
      </c>
      <c r="R191" s="8">
        <v>7.6365676206190253E-2</v>
      </c>
      <c r="S191" s="8">
        <f>Tabelle1[[#This Row],[corr_x]]/1000</f>
        <v>14.927932692307694</v>
      </c>
      <c r="T191" s="8">
        <f>Tabelle1[[#This Row],[corr_y]]/1000</f>
        <v>-16.052788461538462</v>
      </c>
      <c r="U191" s="8">
        <f>Tabelle1[[#This Row],[corr_z]]/1000</f>
        <v>16.995192307692307</v>
      </c>
      <c r="V191" s="8">
        <f>Tabelle1[[#This Row],[corr_soma_x]]/1000</f>
        <v>16.995192307692307</v>
      </c>
      <c r="W191" s="8">
        <f>Tabelle1[[#This Row],[corr_soma_y]]/1000</f>
        <v>-21.947692307692307</v>
      </c>
      <c r="X191" s="8">
        <f>Tabelle1[[#This Row],[corr_soma_z]]/1000</f>
        <v>0.67307692307692313</v>
      </c>
    </row>
    <row r="192" spans="1:24" x14ac:dyDescent="0.35">
      <c r="A192" s="7" t="s">
        <v>11</v>
      </c>
      <c r="B192" s="7" t="s">
        <v>18</v>
      </c>
      <c r="C192" s="6">
        <v>34</v>
      </c>
      <c r="D192" s="2">
        <v>1526.07</v>
      </c>
      <c r="E192" s="2">
        <v>-1663.26</v>
      </c>
      <c r="F192" s="2">
        <v>1785</v>
      </c>
      <c r="G192" s="2">
        <v>5031.3</v>
      </c>
      <c r="H192" s="2">
        <v>-2282.56</v>
      </c>
      <c r="I192" s="2">
        <v>70</v>
      </c>
      <c r="J192" s="2">
        <f>(D192/104)*1000</f>
        <v>14673.75</v>
      </c>
      <c r="K192" s="2">
        <f>(E192/104)*1000</f>
        <v>-15992.884615384615</v>
      </c>
      <c r="L192" s="2">
        <f>(F192/104)*1000</f>
        <v>17163.461538461539</v>
      </c>
      <c r="M192" s="2">
        <f>(F192/104)*1000</f>
        <v>17163.461538461539</v>
      </c>
      <c r="N192" s="2">
        <f>(H192/104)*1000</f>
        <v>-21947.692307692309</v>
      </c>
      <c r="O192" s="2">
        <f>(I192/104)*1000</f>
        <v>673.07692307692309</v>
      </c>
      <c r="P192" s="8">
        <v>2.3633228550295857E-2</v>
      </c>
      <c r="Q192" s="8">
        <v>1.1960891272189349</v>
      </c>
      <c r="R192" s="8">
        <v>0.11949355655439235</v>
      </c>
      <c r="S192" s="8">
        <f>Tabelle1[[#This Row],[corr_x]]/1000</f>
        <v>14.67375</v>
      </c>
      <c r="T192" s="8">
        <f>Tabelle1[[#This Row],[corr_y]]/1000</f>
        <v>-15.992884615384614</v>
      </c>
      <c r="U192" s="8">
        <f>Tabelle1[[#This Row],[corr_z]]/1000</f>
        <v>17.16346153846154</v>
      </c>
      <c r="V192" s="8">
        <f>Tabelle1[[#This Row],[corr_soma_x]]/1000</f>
        <v>17.16346153846154</v>
      </c>
      <c r="W192" s="8">
        <f>Tabelle1[[#This Row],[corr_soma_y]]/1000</f>
        <v>-21.947692307692307</v>
      </c>
      <c r="X192" s="8">
        <f>Tabelle1[[#This Row],[corr_soma_z]]/1000</f>
        <v>0.67307692307692313</v>
      </c>
    </row>
    <row r="193" spans="1:24" x14ac:dyDescent="0.35">
      <c r="A193" s="7" t="s">
        <v>12</v>
      </c>
      <c r="B193" s="7" t="s">
        <v>19</v>
      </c>
      <c r="C193" s="6">
        <v>2</v>
      </c>
      <c r="D193" s="2">
        <v>5704.85</v>
      </c>
      <c r="E193" s="2">
        <v>2565.9299999999998</v>
      </c>
      <c r="F193" s="2">
        <v>300</v>
      </c>
      <c r="G193" s="1">
        <v>9258.3700000000008</v>
      </c>
      <c r="H193" s="1">
        <v>3775.02</v>
      </c>
      <c r="I193" s="1">
        <v>300</v>
      </c>
      <c r="J193" s="2">
        <v>5704.85</v>
      </c>
      <c r="K193" s="2">
        <v>2565.9299999999998</v>
      </c>
      <c r="L193" s="2">
        <v>300</v>
      </c>
      <c r="M193" s="1">
        <v>9258.3700000000008</v>
      </c>
      <c r="N193" s="1">
        <v>3775.02</v>
      </c>
      <c r="O193" s="1">
        <v>300</v>
      </c>
      <c r="P193" s="8">
        <v>5.6876800000000005E-3</v>
      </c>
      <c r="Q193" s="8">
        <v>0.76424800000000004</v>
      </c>
      <c r="R193" s="8">
        <v>5.8269399999999999E-2</v>
      </c>
      <c r="S193" s="8">
        <f>Tabelle1[[#This Row],[corr_x]]/1000</f>
        <v>5.7048500000000004</v>
      </c>
      <c r="T193" s="8">
        <f>Tabelle1[[#This Row],[corr_y]]/1000</f>
        <v>2.5659299999999998</v>
      </c>
      <c r="U193" s="8">
        <f>Tabelle1[[#This Row],[corr_z]]/1000</f>
        <v>0.3</v>
      </c>
      <c r="V193" s="8">
        <f>Tabelle1[[#This Row],[corr_soma_x]]/1000</f>
        <v>9.2583700000000011</v>
      </c>
      <c r="W193" s="8">
        <f>Tabelle1[[#This Row],[corr_soma_y]]/1000</f>
        <v>3.77502</v>
      </c>
      <c r="X193" s="8">
        <f>Tabelle1[[#This Row],[corr_soma_z]]/1000</f>
        <v>0.3</v>
      </c>
    </row>
    <row r="194" spans="1:24" x14ac:dyDescent="0.35">
      <c r="A194" s="7" t="s">
        <v>12</v>
      </c>
      <c r="B194" s="7" t="s">
        <v>18</v>
      </c>
      <c r="C194" s="6">
        <v>1</v>
      </c>
      <c r="D194" s="2">
        <v>5128.55</v>
      </c>
      <c r="E194" s="2">
        <v>2938.03</v>
      </c>
      <c r="F194" s="2">
        <v>1300</v>
      </c>
      <c r="G194" s="1">
        <v>9258.3700000000008</v>
      </c>
      <c r="H194" s="1">
        <v>3775.02</v>
      </c>
      <c r="I194" s="1">
        <v>300</v>
      </c>
      <c r="J194" s="2">
        <v>5128.55</v>
      </c>
      <c r="K194" s="2">
        <v>2938.03</v>
      </c>
      <c r="L194" s="2">
        <v>1300</v>
      </c>
      <c r="M194" s="1">
        <v>9258.3700000000008</v>
      </c>
      <c r="N194" s="1">
        <v>3775.02</v>
      </c>
      <c r="O194" s="1">
        <v>300</v>
      </c>
      <c r="P194" s="8">
        <v>3.9757500000000001E-2</v>
      </c>
      <c r="Q194" s="8">
        <v>0.47120600000000001</v>
      </c>
      <c r="R194" s="8">
        <v>1.8964100000000001E-2</v>
      </c>
      <c r="S194" s="8">
        <f>Tabelle1[[#This Row],[corr_x]]/1000</f>
        <v>5.1285500000000006</v>
      </c>
      <c r="T194" s="8">
        <f>Tabelle1[[#This Row],[corr_y]]/1000</f>
        <v>2.9380300000000004</v>
      </c>
      <c r="U194" s="8">
        <f>Tabelle1[[#This Row],[corr_z]]/1000</f>
        <v>1.3</v>
      </c>
      <c r="V194" s="8">
        <f>Tabelle1[[#This Row],[corr_soma_x]]/1000</f>
        <v>9.2583700000000011</v>
      </c>
      <c r="W194" s="8">
        <f>Tabelle1[[#This Row],[corr_soma_y]]/1000</f>
        <v>3.77502</v>
      </c>
      <c r="X194" s="8">
        <f>Tabelle1[[#This Row],[corr_soma_z]]/1000</f>
        <v>0.3</v>
      </c>
    </row>
    <row r="195" spans="1:24" x14ac:dyDescent="0.35">
      <c r="A195" s="7" t="s">
        <v>12</v>
      </c>
      <c r="B195" s="7" t="s">
        <v>18</v>
      </c>
      <c r="C195" s="6">
        <v>2</v>
      </c>
      <c r="D195" s="2">
        <v>5436.9250000000002</v>
      </c>
      <c r="E195" s="2">
        <v>2781.2150000000001</v>
      </c>
      <c r="F195" s="2">
        <v>1825</v>
      </c>
      <c r="G195" s="1">
        <v>9258.3700000000008</v>
      </c>
      <c r="H195" s="1">
        <v>3775.02</v>
      </c>
      <c r="I195" s="1">
        <v>300</v>
      </c>
      <c r="J195" s="2">
        <v>5436.9250000000002</v>
      </c>
      <c r="K195" s="2">
        <v>2781.2150000000001</v>
      </c>
      <c r="L195" s="2">
        <v>1825</v>
      </c>
      <c r="M195" s="1">
        <v>9258.3700000000008</v>
      </c>
      <c r="N195" s="1">
        <v>3775.02</v>
      </c>
      <c r="O195" s="1">
        <v>300</v>
      </c>
      <c r="P195" s="8">
        <v>3.7074000000000003E-2</v>
      </c>
      <c r="Q195" s="8">
        <v>0.70249200000000001</v>
      </c>
      <c r="R195" s="8">
        <v>3.22823E-2</v>
      </c>
      <c r="S195" s="8">
        <f>Tabelle1[[#This Row],[corr_x]]/1000</f>
        <v>5.4369250000000005</v>
      </c>
      <c r="T195" s="8">
        <f>Tabelle1[[#This Row],[corr_y]]/1000</f>
        <v>2.781215</v>
      </c>
      <c r="U195" s="8">
        <f>Tabelle1[[#This Row],[corr_z]]/1000</f>
        <v>1.825</v>
      </c>
      <c r="V195" s="8">
        <f>Tabelle1[[#This Row],[corr_soma_x]]/1000</f>
        <v>9.2583700000000011</v>
      </c>
      <c r="W195" s="8">
        <f>Tabelle1[[#This Row],[corr_soma_y]]/1000</f>
        <v>3.77502</v>
      </c>
      <c r="X195" s="8">
        <f>Tabelle1[[#This Row],[corr_soma_z]]/1000</f>
        <v>0.3</v>
      </c>
    </row>
    <row r="196" spans="1:24" x14ac:dyDescent="0.35">
      <c r="A196" s="7" t="s">
        <v>12</v>
      </c>
      <c r="B196" s="7" t="s">
        <v>18</v>
      </c>
      <c r="C196" s="6">
        <v>3</v>
      </c>
      <c r="D196" s="2">
        <v>5453.3150000000005</v>
      </c>
      <c r="E196" s="2">
        <v>3004.58</v>
      </c>
      <c r="F196" s="2">
        <v>1975</v>
      </c>
      <c r="G196" s="1">
        <v>9258.3700000000008</v>
      </c>
      <c r="H196" s="1">
        <v>3775.02</v>
      </c>
      <c r="I196" s="1">
        <v>300</v>
      </c>
      <c r="J196" s="2">
        <v>5453.3150000000005</v>
      </c>
      <c r="K196" s="2">
        <v>3004.58</v>
      </c>
      <c r="L196" s="2">
        <v>1975</v>
      </c>
      <c r="M196" s="1">
        <v>9258.3700000000008</v>
      </c>
      <c r="N196" s="1">
        <v>3775.02</v>
      </c>
      <c r="O196" s="1">
        <v>300</v>
      </c>
      <c r="P196" s="8">
        <v>1.2313200000000002E-2</v>
      </c>
      <c r="Q196" s="8">
        <v>0.36844700000000002</v>
      </c>
      <c r="R196" s="8">
        <v>1.9810100000000001E-2</v>
      </c>
      <c r="S196" s="8">
        <f>Tabelle1[[#This Row],[corr_x]]/1000</f>
        <v>5.4533150000000008</v>
      </c>
      <c r="T196" s="8">
        <f>Tabelle1[[#This Row],[corr_y]]/1000</f>
        <v>3.0045799999999998</v>
      </c>
      <c r="U196" s="8">
        <f>Tabelle1[[#This Row],[corr_z]]/1000</f>
        <v>1.9750000000000001</v>
      </c>
      <c r="V196" s="8">
        <f>Tabelle1[[#This Row],[corr_soma_x]]/1000</f>
        <v>9.2583700000000011</v>
      </c>
      <c r="W196" s="8">
        <f>Tabelle1[[#This Row],[corr_soma_y]]/1000</f>
        <v>3.77502</v>
      </c>
      <c r="X196" s="8">
        <f>Tabelle1[[#This Row],[corr_soma_z]]/1000</f>
        <v>0.3</v>
      </c>
    </row>
    <row r="197" spans="1:24" x14ac:dyDescent="0.35">
      <c r="A197" s="7" t="s">
        <v>12</v>
      </c>
      <c r="B197" s="7" t="s">
        <v>18</v>
      </c>
      <c r="C197" s="6">
        <v>4</v>
      </c>
      <c r="D197" s="2">
        <v>5240.1899999999996</v>
      </c>
      <c r="E197" s="2">
        <v>3068.41</v>
      </c>
      <c r="F197" s="2">
        <v>3500</v>
      </c>
      <c r="G197" s="1">
        <v>9258.3700000000008</v>
      </c>
      <c r="H197" s="1">
        <v>3775.02</v>
      </c>
      <c r="I197" s="1">
        <v>300</v>
      </c>
      <c r="J197" s="2">
        <v>5240.1899999999996</v>
      </c>
      <c r="K197" s="2">
        <v>3068.41</v>
      </c>
      <c r="L197" s="2">
        <v>3500</v>
      </c>
      <c r="M197" s="1">
        <v>9258.3700000000008</v>
      </c>
      <c r="N197" s="1">
        <v>3775.02</v>
      </c>
      <c r="O197" s="1">
        <v>300</v>
      </c>
      <c r="P197" s="8">
        <v>6.1047199999999996E-2</v>
      </c>
      <c r="Q197" s="8">
        <v>1.2491000000000001</v>
      </c>
      <c r="R197" s="8">
        <v>5.4803400000000002E-2</v>
      </c>
      <c r="S197" s="8">
        <f>Tabelle1[[#This Row],[corr_x]]/1000</f>
        <v>5.2401899999999992</v>
      </c>
      <c r="T197" s="8">
        <f>Tabelle1[[#This Row],[corr_y]]/1000</f>
        <v>3.0684099999999996</v>
      </c>
      <c r="U197" s="8">
        <f>Tabelle1[[#This Row],[corr_z]]/1000</f>
        <v>3.5</v>
      </c>
      <c r="V197" s="8">
        <f>Tabelle1[[#This Row],[corr_soma_x]]/1000</f>
        <v>9.2583700000000011</v>
      </c>
      <c r="W197" s="8">
        <f>Tabelle1[[#This Row],[corr_soma_y]]/1000</f>
        <v>3.77502</v>
      </c>
      <c r="X197" s="8">
        <f>Tabelle1[[#This Row],[corr_soma_z]]/1000</f>
        <v>0.3</v>
      </c>
    </row>
    <row r="198" spans="1:24" x14ac:dyDescent="0.35">
      <c r="A198" s="7" t="s">
        <v>12</v>
      </c>
      <c r="B198" s="7" t="s">
        <v>18</v>
      </c>
      <c r="C198" s="6">
        <v>5</v>
      </c>
      <c r="D198" s="2">
        <v>5118.7299999999996</v>
      </c>
      <c r="E198" s="2">
        <v>3146.6899999999996</v>
      </c>
      <c r="F198" s="2">
        <v>3775</v>
      </c>
      <c r="G198" s="1">
        <v>9258.3700000000008</v>
      </c>
      <c r="H198" s="1">
        <v>3775.02</v>
      </c>
      <c r="I198" s="1">
        <v>300</v>
      </c>
      <c r="J198" s="2">
        <v>5118.7299999999996</v>
      </c>
      <c r="K198" s="2">
        <v>3146.6899999999996</v>
      </c>
      <c r="L198" s="2">
        <v>3775</v>
      </c>
      <c r="M198" s="1">
        <v>9258.3700000000008</v>
      </c>
      <c r="N198" s="1">
        <v>3775.02</v>
      </c>
      <c r="O198" s="1">
        <v>300</v>
      </c>
      <c r="P198" s="8">
        <v>1.7692299999999998E-2</v>
      </c>
      <c r="Q198" s="8">
        <v>0.93659499999999996</v>
      </c>
      <c r="R198" s="8">
        <v>5.0047800000000003E-2</v>
      </c>
      <c r="S198" s="8">
        <f>Tabelle1[[#This Row],[corr_x]]/1000</f>
        <v>5.1187299999999993</v>
      </c>
      <c r="T198" s="8">
        <f>Tabelle1[[#This Row],[corr_y]]/1000</f>
        <v>3.1466899999999995</v>
      </c>
      <c r="U198" s="8">
        <f>Tabelle1[[#This Row],[corr_z]]/1000</f>
        <v>3.7749999999999999</v>
      </c>
      <c r="V198" s="8">
        <f>Tabelle1[[#This Row],[corr_soma_x]]/1000</f>
        <v>9.2583700000000011</v>
      </c>
      <c r="W198" s="8">
        <f>Tabelle1[[#This Row],[corr_soma_y]]/1000</f>
        <v>3.77502</v>
      </c>
      <c r="X198" s="8">
        <f>Tabelle1[[#This Row],[corr_soma_z]]/1000</f>
        <v>0.3</v>
      </c>
    </row>
    <row r="199" spans="1:24" x14ac:dyDescent="0.35">
      <c r="A199" s="7" t="s">
        <v>12</v>
      </c>
      <c r="B199" s="7" t="s">
        <v>18</v>
      </c>
      <c r="C199" s="6">
        <v>6</v>
      </c>
      <c r="D199" s="2">
        <v>5493.72</v>
      </c>
      <c r="E199" s="2">
        <v>3409.6</v>
      </c>
      <c r="F199" s="2">
        <v>4550</v>
      </c>
      <c r="G199" s="1">
        <v>9258.3700000000008</v>
      </c>
      <c r="H199" s="1">
        <v>3775.02</v>
      </c>
      <c r="I199" s="1">
        <v>300</v>
      </c>
      <c r="J199" s="2">
        <v>5493.72</v>
      </c>
      <c r="K199" s="2">
        <v>3409.6</v>
      </c>
      <c r="L199" s="2">
        <v>4550</v>
      </c>
      <c r="M199" s="1">
        <v>9258.3700000000008</v>
      </c>
      <c r="N199" s="1">
        <v>3775.02</v>
      </c>
      <c r="O199" s="1">
        <v>300</v>
      </c>
      <c r="P199" s="8">
        <v>0.103731</v>
      </c>
      <c r="Q199" s="8">
        <v>1.7675799999999999</v>
      </c>
      <c r="R199" s="8">
        <v>0.131381</v>
      </c>
      <c r="S199" s="8">
        <f>Tabelle1[[#This Row],[corr_x]]/1000</f>
        <v>5.4937200000000006</v>
      </c>
      <c r="T199" s="8">
        <f>Tabelle1[[#This Row],[corr_y]]/1000</f>
        <v>3.4095999999999997</v>
      </c>
      <c r="U199" s="8">
        <f>Tabelle1[[#This Row],[corr_z]]/1000</f>
        <v>4.55</v>
      </c>
      <c r="V199" s="8">
        <f>Tabelle1[[#This Row],[corr_soma_x]]/1000</f>
        <v>9.2583700000000011</v>
      </c>
      <c r="W199" s="8">
        <f>Tabelle1[[#This Row],[corr_soma_y]]/1000</f>
        <v>3.77502</v>
      </c>
      <c r="X199" s="8">
        <f>Tabelle1[[#This Row],[corr_soma_z]]/1000</f>
        <v>0.3</v>
      </c>
    </row>
    <row r="200" spans="1:24" x14ac:dyDescent="0.35">
      <c r="A200" s="7" t="s">
        <v>12</v>
      </c>
      <c r="B200" s="7" t="s">
        <v>18</v>
      </c>
      <c r="C200" s="6">
        <v>7</v>
      </c>
      <c r="D200" s="2">
        <v>5412.27</v>
      </c>
      <c r="E200" s="2">
        <v>3588.52</v>
      </c>
      <c r="F200" s="2">
        <v>4975</v>
      </c>
      <c r="G200" s="1">
        <v>9258.3700000000008</v>
      </c>
      <c r="H200" s="1">
        <v>3775.02</v>
      </c>
      <c r="I200" s="1">
        <v>300</v>
      </c>
      <c r="J200" s="2">
        <v>5412.27</v>
      </c>
      <c r="K200" s="2">
        <v>3588.52</v>
      </c>
      <c r="L200" s="2">
        <v>4975</v>
      </c>
      <c r="M200" s="1">
        <v>9258.3700000000008</v>
      </c>
      <c r="N200" s="1">
        <v>3775.02</v>
      </c>
      <c r="O200" s="1">
        <v>300</v>
      </c>
      <c r="P200" s="8">
        <v>0.12521099999999999</v>
      </c>
      <c r="Q200" s="8">
        <v>1.95956</v>
      </c>
      <c r="R200" s="8">
        <v>0.13705000000000001</v>
      </c>
      <c r="S200" s="8">
        <f>Tabelle1[[#This Row],[corr_x]]/1000</f>
        <v>5.4122700000000004</v>
      </c>
      <c r="T200" s="8">
        <f>Tabelle1[[#This Row],[corr_y]]/1000</f>
        <v>3.5885199999999999</v>
      </c>
      <c r="U200" s="8">
        <f>Tabelle1[[#This Row],[corr_z]]/1000</f>
        <v>4.9749999999999996</v>
      </c>
      <c r="V200" s="8">
        <f>Tabelle1[[#This Row],[corr_soma_x]]/1000</f>
        <v>9.2583700000000011</v>
      </c>
      <c r="W200" s="8">
        <f>Tabelle1[[#This Row],[corr_soma_y]]/1000</f>
        <v>3.77502</v>
      </c>
      <c r="X200" s="8">
        <f>Tabelle1[[#This Row],[corr_soma_z]]/1000</f>
        <v>0.3</v>
      </c>
    </row>
    <row r="201" spans="1:24" x14ac:dyDescent="0.35">
      <c r="A201" s="7" t="s">
        <v>12</v>
      </c>
      <c r="B201" s="7" t="s">
        <v>18</v>
      </c>
      <c r="C201" s="6">
        <v>8</v>
      </c>
      <c r="D201" s="2">
        <v>5446.55</v>
      </c>
      <c r="E201" s="2">
        <v>3223.2</v>
      </c>
      <c r="F201" s="2">
        <v>4950</v>
      </c>
      <c r="G201" s="1">
        <v>9258.3700000000008</v>
      </c>
      <c r="H201" s="1">
        <v>3775.02</v>
      </c>
      <c r="I201" s="1">
        <v>300</v>
      </c>
      <c r="J201" s="2">
        <v>5446.55</v>
      </c>
      <c r="K201" s="2">
        <v>3223.2</v>
      </c>
      <c r="L201" s="2">
        <v>4950</v>
      </c>
      <c r="M201" s="1">
        <v>9258.3700000000008</v>
      </c>
      <c r="N201" s="1">
        <v>3775.02</v>
      </c>
      <c r="O201" s="1">
        <v>300</v>
      </c>
      <c r="P201" s="8">
        <v>4.5774000000000002E-2</v>
      </c>
      <c r="Q201" s="8">
        <v>1.38236</v>
      </c>
      <c r="R201" s="8">
        <v>4.7664400000000003E-2</v>
      </c>
      <c r="S201" s="8">
        <f>Tabelle1[[#This Row],[corr_x]]/1000</f>
        <v>5.4465500000000002</v>
      </c>
      <c r="T201" s="8">
        <f>Tabelle1[[#This Row],[corr_y]]/1000</f>
        <v>3.2231999999999998</v>
      </c>
      <c r="U201" s="8">
        <f>Tabelle1[[#This Row],[corr_z]]/1000</f>
        <v>4.95</v>
      </c>
      <c r="V201" s="8">
        <f>Tabelle1[[#This Row],[corr_soma_x]]/1000</f>
        <v>9.2583700000000011</v>
      </c>
      <c r="W201" s="8">
        <f>Tabelle1[[#This Row],[corr_soma_y]]/1000</f>
        <v>3.77502</v>
      </c>
      <c r="X201" s="8">
        <f>Tabelle1[[#This Row],[corr_soma_z]]/1000</f>
        <v>0.3</v>
      </c>
    </row>
    <row r="202" spans="1:24" x14ac:dyDescent="0.35">
      <c r="A202" s="7" t="s">
        <v>12</v>
      </c>
      <c r="B202" s="7" t="s">
        <v>18</v>
      </c>
      <c r="C202" s="6">
        <v>9</v>
      </c>
      <c r="D202" s="2">
        <v>4843.3599999999997</v>
      </c>
      <c r="E202" s="2">
        <v>3171.85</v>
      </c>
      <c r="F202" s="2">
        <v>4900</v>
      </c>
      <c r="G202" s="1">
        <v>9258.3700000000008</v>
      </c>
      <c r="H202" s="1">
        <v>3775.02</v>
      </c>
      <c r="I202" s="1">
        <v>300</v>
      </c>
      <c r="J202" s="2">
        <v>4843.3599999999997</v>
      </c>
      <c r="K202" s="2">
        <v>3171.85</v>
      </c>
      <c r="L202" s="2">
        <v>4900</v>
      </c>
      <c r="M202" s="1">
        <v>9258.3700000000008</v>
      </c>
      <c r="N202" s="1">
        <v>3775.02</v>
      </c>
      <c r="O202" s="1">
        <v>300</v>
      </c>
      <c r="P202" s="8">
        <v>7.8110300000000008E-2</v>
      </c>
      <c r="Q202" s="8">
        <v>2.8885800000000001</v>
      </c>
      <c r="R202" s="8">
        <v>0.280586</v>
      </c>
      <c r="S202" s="8">
        <f>Tabelle1[[#This Row],[corr_x]]/1000</f>
        <v>4.8433599999999997</v>
      </c>
      <c r="T202" s="8">
        <f>Tabelle1[[#This Row],[corr_y]]/1000</f>
        <v>3.1718500000000001</v>
      </c>
      <c r="U202" s="8">
        <f>Tabelle1[[#This Row],[corr_z]]/1000</f>
        <v>4.9000000000000004</v>
      </c>
      <c r="V202" s="8">
        <f>Tabelle1[[#This Row],[corr_soma_x]]/1000</f>
        <v>9.2583700000000011</v>
      </c>
      <c r="W202" s="8">
        <f>Tabelle1[[#This Row],[corr_soma_y]]/1000</f>
        <v>3.77502</v>
      </c>
      <c r="X202" s="8">
        <f>Tabelle1[[#This Row],[corr_soma_z]]/1000</f>
        <v>0.3</v>
      </c>
    </row>
    <row r="203" spans="1:24" x14ac:dyDescent="0.35">
      <c r="A203" s="7" t="s">
        <v>12</v>
      </c>
      <c r="B203" s="7" t="s">
        <v>18</v>
      </c>
      <c r="C203" s="6">
        <v>10</v>
      </c>
      <c r="D203" s="2">
        <v>4548.63</v>
      </c>
      <c r="E203" s="2">
        <v>2834.06</v>
      </c>
      <c r="F203" s="2">
        <v>5700</v>
      </c>
      <c r="G203" s="1">
        <v>9258.3700000000008</v>
      </c>
      <c r="H203" s="1">
        <v>3775.02</v>
      </c>
      <c r="I203" s="1">
        <v>300</v>
      </c>
      <c r="J203" s="2">
        <v>4548.63</v>
      </c>
      <c r="K203" s="2">
        <v>2834.06</v>
      </c>
      <c r="L203" s="2">
        <v>5700</v>
      </c>
      <c r="M203" s="1">
        <v>9258.3700000000008</v>
      </c>
      <c r="N203" s="1">
        <v>3775.02</v>
      </c>
      <c r="O203" s="1">
        <v>300</v>
      </c>
      <c r="P203" s="8">
        <v>4.1693300000000003E-2</v>
      </c>
      <c r="Q203" s="8">
        <v>1.6056699999999999</v>
      </c>
      <c r="R203" s="8">
        <v>0.13596900000000001</v>
      </c>
      <c r="S203" s="8">
        <f>Tabelle1[[#This Row],[corr_x]]/1000</f>
        <v>4.5486300000000002</v>
      </c>
      <c r="T203" s="8">
        <f>Tabelle1[[#This Row],[corr_y]]/1000</f>
        <v>2.83406</v>
      </c>
      <c r="U203" s="8">
        <f>Tabelle1[[#This Row],[corr_z]]/1000</f>
        <v>5.7</v>
      </c>
      <c r="V203" s="8">
        <f>Tabelle1[[#This Row],[corr_soma_x]]/1000</f>
        <v>9.2583700000000011</v>
      </c>
      <c r="W203" s="8">
        <f>Tabelle1[[#This Row],[corr_soma_y]]/1000</f>
        <v>3.77502</v>
      </c>
      <c r="X203" s="8">
        <f>Tabelle1[[#This Row],[corr_soma_z]]/1000</f>
        <v>0.3</v>
      </c>
    </row>
    <row r="204" spans="1:24" x14ac:dyDescent="0.35">
      <c r="A204" s="7" t="s">
        <v>12</v>
      </c>
      <c r="B204" s="7" t="s">
        <v>18</v>
      </c>
      <c r="C204" s="6">
        <v>11</v>
      </c>
      <c r="D204" s="2">
        <v>4490.7700000000004</v>
      </c>
      <c r="E204" s="2">
        <v>3420.9849999999997</v>
      </c>
      <c r="F204" s="2">
        <v>6175</v>
      </c>
      <c r="G204" s="1">
        <v>9258.3700000000008</v>
      </c>
      <c r="H204" s="1">
        <v>3775.02</v>
      </c>
      <c r="I204" s="1">
        <v>300</v>
      </c>
      <c r="J204" s="2">
        <v>4490.7700000000004</v>
      </c>
      <c r="K204" s="2">
        <v>3420.9849999999997</v>
      </c>
      <c r="L204" s="2">
        <v>6175</v>
      </c>
      <c r="M204" s="1">
        <v>9258.3700000000008</v>
      </c>
      <c r="N204" s="1">
        <v>3775.02</v>
      </c>
      <c r="O204" s="1">
        <v>300</v>
      </c>
      <c r="P204" s="8">
        <v>7.5997100000000012E-2</v>
      </c>
      <c r="Q204" s="8">
        <v>1.2881100000000001</v>
      </c>
      <c r="R204" s="8">
        <v>7.6517299999999996E-2</v>
      </c>
      <c r="S204" s="8">
        <f>Tabelle1[[#This Row],[corr_x]]/1000</f>
        <v>4.4907700000000004</v>
      </c>
      <c r="T204" s="8">
        <f>Tabelle1[[#This Row],[corr_y]]/1000</f>
        <v>3.4209849999999995</v>
      </c>
      <c r="U204" s="8">
        <f>Tabelle1[[#This Row],[corr_z]]/1000</f>
        <v>6.1749999999999998</v>
      </c>
      <c r="V204" s="8">
        <f>Tabelle1[[#This Row],[corr_soma_x]]/1000</f>
        <v>9.2583700000000011</v>
      </c>
      <c r="W204" s="8">
        <f>Tabelle1[[#This Row],[corr_soma_y]]/1000</f>
        <v>3.77502</v>
      </c>
      <c r="X204" s="8">
        <f>Tabelle1[[#This Row],[corr_soma_z]]/1000</f>
        <v>0.3</v>
      </c>
    </row>
    <row r="205" spans="1:24" x14ac:dyDescent="0.35">
      <c r="A205" s="7" t="s">
        <v>12</v>
      </c>
      <c r="B205" s="7" t="s">
        <v>19</v>
      </c>
      <c r="C205" s="6">
        <v>3</v>
      </c>
      <c r="D205" s="2">
        <v>4478.46</v>
      </c>
      <c r="E205" s="2">
        <v>2898.3649999999998</v>
      </c>
      <c r="F205" s="2">
        <v>6275</v>
      </c>
      <c r="G205" s="1">
        <v>9258.3700000000008</v>
      </c>
      <c r="H205" s="1">
        <v>3775.02</v>
      </c>
      <c r="I205" s="1">
        <v>300</v>
      </c>
      <c r="J205" s="2">
        <v>4478.46</v>
      </c>
      <c r="K205" s="2">
        <v>2898.3649999999998</v>
      </c>
      <c r="L205" s="2">
        <v>6275</v>
      </c>
      <c r="M205" s="1">
        <v>9258.3700000000008</v>
      </c>
      <c r="N205" s="1">
        <v>3775.02</v>
      </c>
      <c r="O205" s="1">
        <v>300</v>
      </c>
      <c r="P205" s="8">
        <v>2.3442900000000003E-2</v>
      </c>
      <c r="Q205" s="8">
        <v>1.0132699999999999</v>
      </c>
      <c r="R205" s="8">
        <v>7.14201E-2</v>
      </c>
      <c r="S205" s="8">
        <f>Tabelle1[[#This Row],[corr_x]]/1000</f>
        <v>4.4784600000000001</v>
      </c>
      <c r="T205" s="8">
        <f>Tabelle1[[#This Row],[corr_y]]/1000</f>
        <v>2.8983649999999996</v>
      </c>
      <c r="U205" s="8">
        <f>Tabelle1[[#This Row],[corr_z]]/1000</f>
        <v>6.2750000000000004</v>
      </c>
      <c r="V205" s="8">
        <f>Tabelle1[[#This Row],[corr_soma_x]]/1000</f>
        <v>9.2583700000000011</v>
      </c>
      <c r="W205" s="8">
        <f>Tabelle1[[#This Row],[corr_soma_y]]/1000</f>
        <v>3.77502</v>
      </c>
      <c r="X205" s="8">
        <f>Tabelle1[[#This Row],[corr_soma_z]]/1000</f>
        <v>0.3</v>
      </c>
    </row>
    <row r="206" spans="1:24" x14ac:dyDescent="0.35">
      <c r="A206" s="7" t="s">
        <v>12</v>
      </c>
      <c r="B206" s="7" t="s">
        <v>18</v>
      </c>
      <c r="C206" s="6">
        <v>12</v>
      </c>
      <c r="D206" s="2">
        <v>4133</v>
      </c>
      <c r="E206" s="2">
        <v>3251.99</v>
      </c>
      <c r="F206" s="2">
        <v>6650</v>
      </c>
      <c r="G206" s="1">
        <v>9258.3700000000008</v>
      </c>
      <c r="H206" s="1">
        <v>3775.02</v>
      </c>
      <c r="I206" s="1">
        <v>300</v>
      </c>
      <c r="J206" s="2">
        <v>4133</v>
      </c>
      <c r="K206" s="2">
        <v>3251.99</v>
      </c>
      <c r="L206" s="2">
        <v>6650</v>
      </c>
      <c r="M206" s="1">
        <v>9258.3700000000008</v>
      </c>
      <c r="N206" s="1">
        <v>3775.02</v>
      </c>
      <c r="O206" s="1">
        <v>300</v>
      </c>
      <c r="P206" s="8">
        <v>4.4460800000000002E-2</v>
      </c>
      <c r="Q206" s="8">
        <v>0.51893</v>
      </c>
      <c r="R206" s="8">
        <v>2.64088E-2</v>
      </c>
      <c r="S206" s="8">
        <f>Tabelle1[[#This Row],[corr_x]]/1000</f>
        <v>4.133</v>
      </c>
      <c r="T206" s="8">
        <f>Tabelle1[[#This Row],[corr_y]]/1000</f>
        <v>3.2519899999999997</v>
      </c>
      <c r="U206" s="8">
        <f>Tabelle1[[#This Row],[corr_z]]/1000</f>
        <v>6.65</v>
      </c>
      <c r="V206" s="8">
        <f>Tabelle1[[#This Row],[corr_soma_x]]/1000</f>
        <v>9.2583700000000011</v>
      </c>
      <c r="W206" s="8">
        <f>Tabelle1[[#This Row],[corr_soma_y]]/1000</f>
        <v>3.77502</v>
      </c>
      <c r="X206" s="8">
        <f>Tabelle1[[#This Row],[corr_soma_z]]/1000</f>
        <v>0.3</v>
      </c>
    </row>
    <row r="207" spans="1:24" x14ac:dyDescent="0.35">
      <c r="A207" s="7" t="s">
        <v>12</v>
      </c>
      <c r="B207" s="7" t="s">
        <v>18</v>
      </c>
      <c r="C207" s="6">
        <v>13</v>
      </c>
      <c r="D207" s="2">
        <v>3550.4949999999999</v>
      </c>
      <c r="E207" s="2">
        <v>2688.165</v>
      </c>
      <c r="F207" s="2">
        <v>6425</v>
      </c>
      <c r="G207" s="1">
        <v>9258.3700000000008</v>
      </c>
      <c r="H207" s="1">
        <v>3775.02</v>
      </c>
      <c r="I207" s="1">
        <v>300</v>
      </c>
      <c r="J207" s="2">
        <v>3550.4949999999999</v>
      </c>
      <c r="K207" s="2">
        <v>2688.165</v>
      </c>
      <c r="L207" s="2">
        <v>6425</v>
      </c>
      <c r="M207" s="1">
        <v>9258.3700000000008</v>
      </c>
      <c r="N207" s="1">
        <v>3775.02</v>
      </c>
      <c r="O207" s="1">
        <v>300</v>
      </c>
      <c r="P207" s="8">
        <v>4.92176E-2</v>
      </c>
      <c r="Q207" s="8">
        <v>0.83028599999999997</v>
      </c>
      <c r="R207" s="8">
        <v>4.9888599999999998E-2</v>
      </c>
      <c r="S207" s="8">
        <f>Tabelle1[[#This Row],[corr_x]]/1000</f>
        <v>3.5504949999999997</v>
      </c>
      <c r="T207" s="8">
        <f>Tabelle1[[#This Row],[corr_y]]/1000</f>
        <v>2.6881650000000001</v>
      </c>
      <c r="U207" s="8">
        <f>Tabelle1[[#This Row],[corr_z]]/1000</f>
        <v>6.4249999999999998</v>
      </c>
      <c r="V207" s="8">
        <f>Tabelle1[[#This Row],[corr_soma_x]]/1000</f>
        <v>9.2583700000000011</v>
      </c>
      <c r="W207" s="8">
        <f>Tabelle1[[#This Row],[corr_soma_y]]/1000</f>
        <v>3.77502</v>
      </c>
      <c r="X207" s="8">
        <f>Tabelle1[[#This Row],[corr_soma_z]]/1000</f>
        <v>0.3</v>
      </c>
    </row>
    <row r="208" spans="1:24" x14ac:dyDescent="0.35">
      <c r="A208" s="7" t="s">
        <v>12</v>
      </c>
      <c r="B208" s="7" t="s">
        <v>18</v>
      </c>
      <c r="C208" s="6">
        <v>14</v>
      </c>
      <c r="D208" s="2">
        <v>3811.7449999999999</v>
      </c>
      <c r="E208" s="2">
        <v>3184.51</v>
      </c>
      <c r="F208" s="2">
        <v>7125</v>
      </c>
      <c r="G208" s="1">
        <v>9258.3700000000008</v>
      </c>
      <c r="H208" s="1">
        <v>3775.02</v>
      </c>
      <c r="I208" s="1">
        <v>300</v>
      </c>
      <c r="J208" s="2">
        <v>3811.7449999999999</v>
      </c>
      <c r="K208" s="2">
        <v>3184.51</v>
      </c>
      <c r="L208" s="2">
        <v>7125</v>
      </c>
      <c r="M208" s="1">
        <v>9258.3700000000008</v>
      </c>
      <c r="N208" s="1">
        <v>3775.02</v>
      </c>
      <c r="O208" s="1">
        <v>300</v>
      </c>
      <c r="P208" s="8">
        <v>0.13833100000000001</v>
      </c>
      <c r="Q208" s="8">
        <v>2.8818700000000002</v>
      </c>
      <c r="R208" s="8">
        <v>0.29070400000000002</v>
      </c>
      <c r="S208" s="8">
        <f>Tabelle1[[#This Row],[corr_x]]/1000</f>
        <v>3.8117449999999997</v>
      </c>
      <c r="T208" s="8">
        <f>Tabelle1[[#This Row],[corr_y]]/1000</f>
        <v>3.1845100000000004</v>
      </c>
      <c r="U208" s="8">
        <f>Tabelle1[[#This Row],[corr_z]]/1000</f>
        <v>7.125</v>
      </c>
      <c r="V208" s="8">
        <f>Tabelle1[[#This Row],[corr_soma_x]]/1000</f>
        <v>9.2583700000000011</v>
      </c>
      <c r="W208" s="8">
        <f>Tabelle1[[#This Row],[corr_soma_y]]/1000</f>
        <v>3.77502</v>
      </c>
      <c r="X208" s="8">
        <f>Tabelle1[[#This Row],[corr_soma_z]]/1000</f>
        <v>0.3</v>
      </c>
    </row>
    <row r="209" spans="1:24" x14ac:dyDescent="0.35">
      <c r="A209" s="7" t="s">
        <v>12</v>
      </c>
      <c r="B209" s="7" t="s">
        <v>18</v>
      </c>
      <c r="C209" s="6">
        <v>15</v>
      </c>
      <c r="D209" s="2">
        <v>3444.355</v>
      </c>
      <c r="E209" s="2">
        <v>2526.4650000000001</v>
      </c>
      <c r="F209" s="2">
        <v>7525</v>
      </c>
      <c r="G209" s="1">
        <v>9258.3700000000008</v>
      </c>
      <c r="H209" s="1">
        <v>3775.02</v>
      </c>
      <c r="I209" s="1">
        <v>300</v>
      </c>
      <c r="J209" s="2">
        <v>3444.355</v>
      </c>
      <c r="K209" s="2">
        <v>2526.4650000000001</v>
      </c>
      <c r="L209" s="2">
        <v>7525</v>
      </c>
      <c r="M209" s="1">
        <v>9258.3700000000008</v>
      </c>
      <c r="N209" s="1">
        <v>3775.02</v>
      </c>
      <c r="O209" s="1">
        <v>300</v>
      </c>
      <c r="P209" s="8">
        <v>0.12106</v>
      </c>
      <c r="Q209" s="8">
        <v>3.0434199999999998</v>
      </c>
      <c r="R209" s="8">
        <v>0.229327</v>
      </c>
      <c r="S209" s="8">
        <f>Tabelle1[[#This Row],[corr_x]]/1000</f>
        <v>3.4443549999999998</v>
      </c>
      <c r="T209" s="8">
        <f>Tabelle1[[#This Row],[corr_y]]/1000</f>
        <v>2.526465</v>
      </c>
      <c r="U209" s="8">
        <f>Tabelle1[[#This Row],[corr_z]]/1000</f>
        <v>7.5250000000000004</v>
      </c>
      <c r="V209" s="8">
        <f>Tabelle1[[#This Row],[corr_soma_x]]/1000</f>
        <v>9.2583700000000011</v>
      </c>
      <c r="W209" s="8">
        <f>Tabelle1[[#This Row],[corr_soma_y]]/1000</f>
        <v>3.77502</v>
      </c>
      <c r="X209" s="8">
        <f>Tabelle1[[#This Row],[corr_soma_z]]/1000</f>
        <v>0.3</v>
      </c>
    </row>
    <row r="210" spans="1:24" x14ac:dyDescent="0.35">
      <c r="A210" s="7" t="s">
        <v>12</v>
      </c>
      <c r="B210" s="7" t="s">
        <v>18</v>
      </c>
      <c r="C210" s="6">
        <v>16</v>
      </c>
      <c r="D210" s="2">
        <v>2991.76</v>
      </c>
      <c r="E210" s="2">
        <v>2744.35</v>
      </c>
      <c r="F210" s="2">
        <v>7350</v>
      </c>
      <c r="G210" s="1">
        <v>9258.3700000000008</v>
      </c>
      <c r="H210" s="1">
        <v>3775.02</v>
      </c>
      <c r="I210" s="1">
        <v>300</v>
      </c>
      <c r="J210" s="2">
        <v>2991.76</v>
      </c>
      <c r="K210" s="2">
        <v>2744.35</v>
      </c>
      <c r="L210" s="2">
        <v>7350</v>
      </c>
      <c r="M210" s="1">
        <v>9258.3700000000008</v>
      </c>
      <c r="N210" s="1">
        <v>3775.02</v>
      </c>
      <c r="O210" s="1">
        <v>300</v>
      </c>
      <c r="P210" s="8">
        <v>9.2746300000000004E-2</v>
      </c>
      <c r="Q210" s="8">
        <v>1.1591499999999999</v>
      </c>
      <c r="R210" s="8">
        <v>7.2748499999999994E-2</v>
      </c>
      <c r="S210" s="8">
        <f>Tabelle1[[#This Row],[corr_x]]/1000</f>
        <v>2.9917600000000002</v>
      </c>
      <c r="T210" s="8">
        <f>Tabelle1[[#This Row],[corr_y]]/1000</f>
        <v>2.7443499999999998</v>
      </c>
      <c r="U210" s="8">
        <f>Tabelle1[[#This Row],[corr_z]]/1000</f>
        <v>7.35</v>
      </c>
      <c r="V210" s="8">
        <f>Tabelle1[[#This Row],[corr_soma_x]]/1000</f>
        <v>9.2583700000000011</v>
      </c>
      <c r="W210" s="8">
        <f>Tabelle1[[#This Row],[corr_soma_y]]/1000</f>
        <v>3.77502</v>
      </c>
      <c r="X210" s="8">
        <f>Tabelle1[[#This Row],[corr_soma_z]]/1000</f>
        <v>0.3</v>
      </c>
    </row>
    <row r="211" spans="1:24" x14ac:dyDescent="0.35">
      <c r="A211" s="7" t="s">
        <v>12</v>
      </c>
      <c r="B211" s="7" t="s">
        <v>18</v>
      </c>
      <c r="C211" s="6">
        <v>17</v>
      </c>
      <c r="D211" s="2">
        <v>3166.11</v>
      </c>
      <c r="E211" s="2">
        <v>2690.45</v>
      </c>
      <c r="F211" s="2">
        <v>7450</v>
      </c>
      <c r="G211" s="1">
        <v>9258.3700000000008</v>
      </c>
      <c r="H211" s="1">
        <v>3775.02</v>
      </c>
      <c r="I211" s="1">
        <v>300</v>
      </c>
      <c r="J211" s="2">
        <v>3166.11</v>
      </c>
      <c r="K211" s="2">
        <v>2690.45</v>
      </c>
      <c r="L211" s="2">
        <v>7450</v>
      </c>
      <c r="M211" s="1">
        <v>9258.3700000000008</v>
      </c>
      <c r="N211" s="1">
        <v>3775.02</v>
      </c>
      <c r="O211" s="1">
        <v>300</v>
      </c>
      <c r="P211" s="8">
        <v>3.59301E-2</v>
      </c>
      <c r="Q211" s="8">
        <v>0.67901</v>
      </c>
      <c r="R211" s="8">
        <v>3.1645E-2</v>
      </c>
      <c r="S211" s="8">
        <f>Tabelle1[[#This Row],[corr_x]]/1000</f>
        <v>3.1661100000000002</v>
      </c>
      <c r="T211" s="8">
        <f>Tabelle1[[#This Row],[corr_y]]/1000</f>
        <v>2.6904499999999998</v>
      </c>
      <c r="U211" s="8">
        <f>Tabelle1[[#This Row],[corr_z]]/1000</f>
        <v>7.45</v>
      </c>
      <c r="V211" s="8">
        <f>Tabelle1[[#This Row],[corr_soma_x]]/1000</f>
        <v>9.2583700000000011</v>
      </c>
      <c r="W211" s="8">
        <f>Tabelle1[[#This Row],[corr_soma_y]]/1000</f>
        <v>3.77502</v>
      </c>
      <c r="X211" s="8">
        <f>Tabelle1[[#This Row],[corr_soma_z]]/1000</f>
        <v>0.3</v>
      </c>
    </row>
    <row r="212" spans="1:24" x14ac:dyDescent="0.35">
      <c r="A212" s="7" t="s">
        <v>12</v>
      </c>
      <c r="B212" s="7" t="s">
        <v>18</v>
      </c>
      <c r="C212" s="6">
        <v>18</v>
      </c>
      <c r="D212" s="2">
        <v>3343.08</v>
      </c>
      <c r="E212" s="2">
        <v>2796.76</v>
      </c>
      <c r="F212" s="2">
        <v>8850</v>
      </c>
      <c r="G212" s="1">
        <v>9258.3700000000008</v>
      </c>
      <c r="H212" s="1">
        <v>3775.02</v>
      </c>
      <c r="I212" s="1">
        <v>300</v>
      </c>
      <c r="J212" s="2">
        <v>3343.08</v>
      </c>
      <c r="K212" s="2">
        <v>2796.76</v>
      </c>
      <c r="L212" s="2">
        <v>8850</v>
      </c>
      <c r="M212" s="1">
        <v>9258.3700000000008</v>
      </c>
      <c r="N212" s="1">
        <v>3775.02</v>
      </c>
      <c r="O212" s="1">
        <v>300</v>
      </c>
      <c r="P212" s="8">
        <v>8.7229600000000004E-2</v>
      </c>
      <c r="Q212" s="8">
        <v>1.51525</v>
      </c>
      <c r="R212" s="8">
        <v>8.2984299999999997E-2</v>
      </c>
      <c r="S212" s="8">
        <f>Tabelle1[[#This Row],[corr_x]]/1000</f>
        <v>3.3430800000000001</v>
      </c>
      <c r="T212" s="8">
        <f>Tabelle1[[#This Row],[corr_y]]/1000</f>
        <v>2.7967600000000004</v>
      </c>
      <c r="U212" s="8">
        <f>Tabelle1[[#This Row],[corr_z]]/1000</f>
        <v>8.85</v>
      </c>
      <c r="V212" s="8">
        <f>Tabelle1[[#This Row],[corr_soma_x]]/1000</f>
        <v>9.2583700000000011</v>
      </c>
      <c r="W212" s="8">
        <f>Tabelle1[[#This Row],[corr_soma_y]]/1000</f>
        <v>3.77502</v>
      </c>
      <c r="X212" s="8">
        <f>Tabelle1[[#This Row],[corr_soma_z]]/1000</f>
        <v>0.3</v>
      </c>
    </row>
    <row r="213" spans="1:24" x14ac:dyDescent="0.35">
      <c r="A213" s="7" t="s">
        <v>12</v>
      </c>
      <c r="B213" s="7" t="s">
        <v>18</v>
      </c>
      <c r="C213" s="6">
        <v>19</v>
      </c>
      <c r="D213" s="2">
        <v>3428.69</v>
      </c>
      <c r="E213" s="2">
        <v>2681.91</v>
      </c>
      <c r="F213" s="2">
        <v>8350</v>
      </c>
      <c r="G213" s="1">
        <v>9258.3700000000008</v>
      </c>
      <c r="H213" s="1">
        <v>3775.02</v>
      </c>
      <c r="I213" s="1">
        <v>300</v>
      </c>
      <c r="J213" s="2">
        <v>3428.69</v>
      </c>
      <c r="K213" s="2">
        <v>2681.91</v>
      </c>
      <c r="L213" s="2">
        <v>8350</v>
      </c>
      <c r="M213" s="1">
        <v>9258.3700000000008</v>
      </c>
      <c r="N213" s="1">
        <v>3775.02</v>
      </c>
      <c r="O213" s="1">
        <v>300</v>
      </c>
      <c r="P213" s="8">
        <v>8.4345500000000004E-2</v>
      </c>
      <c r="Q213" s="8">
        <v>1.7623899999999999</v>
      </c>
      <c r="R213" s="8">
        <v>0.147147</v>
      </c>
      <c r="S213" s="8">
        <f>Tabelle1[[#This Row],[corr_x]]/1000</f>
        <v>3.42869</v>
      </c>
      <c r="T213" s="8">
        <f>Tabelle1[[#This Row],[corr_y]]/1000</f>
        <v>2.6819099999999998</v>
      </c>
      <c r="U213" s="8">
        <f>Tabelle1[[#This Row],[corr_z]]/1000</f>
        <v>8.35</v>
      </c>
      <c r="V213" s="8">
        <f>Tabelle1[[#This Row],[corr_soma_x]]/1000</f>
        <v>9.2583700000000011</v>
      </c>
      <c r="W213" s="8">
        <f>Tabelle1[[#This Row],[corr_soma_y]]/1000</f>
        <v>3.77502</v>
      </c>
      <c r="X213" s="8">
        <f>Tabelle1[[#This Row],[corr_soma_z]]/1000</f>
        <v>0.3</v>
      </c>
    </row>
    <row r="214" spans="1:24" x14ac:dyDescent="0.35">
      <c r="A214" s="7" t="s">
        <v>12</v>
      </c>
      <c r="B214" s="7" t="s">
        <v>18</v>
      </c>
      <c r="C214" s="6">
        <v>20</v>
      </c>
      <c r="D214" s="2">
        <v>3276.2250000000004</v>
      </c>
      <c r="E214" s="2">
        <v>2956.0549999999998</v>
      </c>
      <c r="F214" s="2">
        <v>9625</v>
      </c>
      <c r="G214" s="1">
        <v>9258.3700000000008</v>
      </c>
      <c r="H214" s="1">
        <v>3775.02</v>
      </c>
      <c r="I214" s="1">
        <v>300</v>
      </c>
      <c r="J214" s="2">
        <v>3276.2250000000004</v>
      </c>
      <c r="K214" s="2">
        <v>2956.0549999999998</v>
      </c>
      <c r="L214" s="2">
        <v>9625</v>
      </c>
      <c r="M214" s="1">
        <v>9258.3700000000008</v>
      </c>
      <c r="N214" s="1">
        <v>3775.02</v>
      </c>
      <c r="O214" s="1">
        <v>300</v>
      </c>
      <c r="P214" s="8">
        <v>8.7334600000000012E-2</v>
      </c>
      <c r="Q214" s="8">
        <v>2.0992199999999999</v>
      </c>
      <c r="R214" s="8">
        <v>0.14232600000000001</v>
      </c>
      <c r="S214" s="8">
        <f>Tabelle1[[#This Row],[corr_x]]/1000</f>
        <v>3.2762250000000002</v>
      </c>
      <c r="T214" s="8">
        <f>Tabelle1[[#This Row],[corr_y]]/1000</f>
        <v>2.9560549999999997</v>
      </c>
      <c r="U214" s="8">
        <f>Tabelle1[[#This Row],[corr_z]]/1000</f>
        <v>9.625</v>
      </c>
      <c r="V214" s="8">
        <f>Tabelle1[[#This Row],[corr_soma_x]]/1000</f>
        <v>9.2583700000000011</v>
      </c>
      <c r="W214" s="8">
        <f>Tabelle1[[#This Row],[corr_soma_y]]/1000</f>
        <v>3.77502</v>
      </c>
      <c r="X214" s="8">
        <f>Tabelle1[[#This Row],[corr_soma_z]]/1000</f>
        <v>0.3</v>
      </c>
    </row>
    <row r="215" spans="1:24" x14ac:dyDescent="0.35">
      <c r="A215" s="7" t="s">
        <v>12</v>
      </c>
      <c r="B215" s="7" t="s">
        <v>18</v>
      </c>
      <c r="C215" s="6">
        <v>21</v>
      </c>
      <c r="D215" s="2">
        <v>2985.7449999999999</v>
      </c>
      <c r="E215" s="2">
        <v>2818.55</v>
      </c>
      <c r="F215" s="2">
        <v>9875</v>
      </c>
      <c r="G215" s="1">
        <v>9258.3700000000008</v>
      </c>
      <c r="H215" s="1">
        <v>3775.02</v>
      </c>
      <c r="I215" s="1">
        <v>300</v>
      </c>
      <c r="J215" s="2">
        <v>2985.7449999999999</v>
      </c>
      <c r="K215" s="2">
        <v>2818.55</v>
      </c>
      <c r="L215" s="2">
        <v>9875</v>
      </c>
      <c r="M215" s="1">
        <v>9258.3700000000008</v>
      </c>
      <c r="N215" s="1">
        <v>3775.02</v>
      </c>
      <c r="O215" s="1">
        <v>300</v>
      </c>
      <c r="P215" s="8">
        <v>5.8402099999999998E-2</v>
      </c>
      <c r="Q215" s="8">
        <v>1.36158</v>
      </c>
      <c r="R215" s="8">
        <v>6.1130299999999999E-2</v>
      </c>
      <c r="S215" s="8">
        <f>Tabelle1[[#This Row],[corr_x]]/1000</f>
        <v>2.9857450000000001</v>
      </c>
      <c r="T215" s="8">
        <f>Tabelle1[[#This Row],[corr_y]]/1000</f>
        <v>2.8185500000000001</v>
      </c>
      <c r="U215" s="8">
        <f>Tabelle1[[#This Row],[corr_z]]/1000</f>
        <v>9.875</v>
      </c>
      <c r="V215" s="8">
        <f>Tabelle1[[#This Row],[corr_soma_x]]/1000</f>
        <v>9.2583700000000011</v>
      </c>
      <c r="W215" s="8">
        <f>Tabelle1[[#This Row],[corr_soma_y]]/1000</f>
        <v>3.77502</v>
      </c>
      <c r="X215" s="8">
        <f>Tabelle1[[#This Row],[corr_soma_z]]/1000</f>
        <v>0.3</v>
      </c>
    </row>
    <row r="216" spans="1:24" x14ac:dyDescent="0.35">
      <c r="A216" s="7" t="s">
        <v>12</v>
      </c>
      <c r="B216" s="7" t="s">
        <v>18</v>
      </c>
      <c r="C216" s="6">
        <v>22</v>
      </c>
      <c r="D216" s="2">
        <v>2787.65</v>
      </c>
      <c r="E216" s="2">
        <v>3190.76</v>
      </c>
      <c r="F216" s="2">
        <v>10725</v>
      </c>
      <c r="G216" s="1">
        <v>9258.3700000000008</v>
      </c>
      <c r="H216" s="1">
        <v>3775.02</v>
      </c>
      <c r="I216" s="1">
        <v>300</v>
      </c>
      <c r="J216" s="2">
        <v>2787.65</v>
      </c>
      <c r="K216" s="2">
        <v>3190.76</v>
      </c>
      <c r="L216" s="2">
        <v>10725</v>
      </c>
      <c r="M216" s="1">
        <v>9258.3700000000008</v>
      </c>
      <c r="N216" s="1">
        <v>3775.02</v>
      </c>
      <c r="O216" s="1">
        <v>300</v>
      </c>
      <c r="P216" s="8">
        <v>4.1204699999999997E-2</v>
      </c>
      <c r="Q216" s="8">
        <v>2.9478200000000001</v>
      </c>
      <c r="R216" s="8">
        <v>0.29698799999999997</v>
      </c>
      <c r="S216" s="8">
        <f>Tabelle1[[#This Row],[corr_x]]/1000</f>
        <v>2.7876500000000002</v>
      </c>
      <c r="T216" s="8">
        <f>Tabelle1[[#This Row],[corr_y]]/1000</f>
        <v>3.19076</v>
      </c>
      <c r="U216" s="8">
        <f>Tabelle1[[#This Row],[corr_z]]/1000</f>
        <v>10.725</v>
      </c>
      <c r="V216" s="8">
        <f>Tabelle1[[#This Row],[corr_soma_x]]/1000</f>
        <v>9.2583700000000011</v>
      </c>
      <c r="W216" s="8">
        <f>Tabelle1[[#This Row],[corr_soma_y]]/1000</f>
        <v>3.77502</v>
      </c>
      <c r="X216" s="8">
        <f>Tabelle1[[#This Row],[corr_soma_z]]/1000</f>
        <v>0.3</v>
      </c>
    </row>
    <row r="217" spans="1:24" x14ac:dyDescent="0.35">
      <c r="A217" s="7" t="s">
        <v>12</v>
      </c>
      <c r="B217" s="7" t="s">
        <v>18</v>
      </c>
      <c r="C217" s="6">
        <v>23</v>
      </c>
      <c r="D217" s="2">
        <v>3007.41</v>
      </c>
      <c r="E217" s="2">
        <v>2857.1800000000003</v>
      </c>
      <c r="F217" s="2">
        <v>10525</v>
      </c>
      <c r="G217" s="1">
        <v>9258.3700000000008</v>
      </c>
      <c r="H217" s="1">
        <v>3775.02</v>
      </c>
      <c r="I217" s="1">
        <v>300</v>
      </c>
      <c r="J217" s="2">
        <v>3007.41</v>
      </c>
      <c r="K217" s="2">
        <v>2857.1800000000003</v>
      </c>
      <c r="L217" s="2">
        <v>10525</v>
      </c>
      <c r="M217" s="1">
        <v>9258.3700000000008</v>
      </c>
      <c r="N217" s="1">
        <v>3775.02</v>
      </c>
      <c r="O217" s="1">
        <v>300</v>
      </c>
      <c r="P217" s="8">
        <v>4.88262E-2</v>
      </c>
      <c r="Q217" s="8">
        <v>1.6251800000000001</v>
      </c>
      <c r="R217" s="8">
        <v>0.124141</v>
      </c>
      <c r="S217" s="8">
        <f>Tabelle1[[#This Row],[corr_x]]/1000</f>
        <v>3.0074099999999997</v>
      </c>
      <c r="T217" s="8">
        <f>Tabelle1[[#This Row],[corr_y]]/1000</f>
        <v>2.8571800000000005</v>
      </c>
      <c r="U217" s="8">
        <f>Tabelle1[[#This Row],[corr_z]]/1000</f>
        <v>10.525</v>
      </c>
      <c r="V217" s="8">
        <f>Tabelle1[[#This Row],[corr_soma_x]]/1000</f>
        <v>9.2583700000000011</v>
      </c>
      <c r="W217" s="8">
        <f>Tabelle1[[#This Row],[corr_soma_y]]/1000</f>
        <v>3.77502</v>
      </c>
      <c r="X217" s="8">
        <f>Tabelle1[[#This Row],[corr_soma_z]]/1000</f>
        <v>0.3</v>
      </c>
    </row>
    <row r="218" spans="1:24" x14ac:dyDescent="0.35">
      <c r="A218" s="7" t="s">
        <v>12</v>
      </c>
      <c r="B218" s="7" t="s">
        <v>18</v>
      </c>
      <c r="C218" s="6">
        <v>24</v>
      </c>
      <c r="D218" s="2">
        <v>2945.085</v>
      </c>
      <c r="E218" s="2">
        <v>3449.7249999999999</v>
      </c>
      <c r="F218" s="2">
        <v>11225</v>
      </c>
      <c r="G218" s="1">
        <v>9258.3700000000008</v>
      </c>
      <c r="H218" s="1">
        <v>3775.02</v>
      </c>
      <c r="I218" s="1">
        <v>300</v>
      </c>
      <c r="J218" s="2">
        <v>2945.085</v>
      </c>
      <c r="K218" s="2">
        <v>3449.7249999999999</v>
      </c>
      <c r="L218" s="2">
        <v>11225</v>
      </c>
      <c r="M218" s="1">
        <v>9258.3700000000008</v>
      </c>
      <c r="N218" s="1">
        <v>3775.02</v>
      </c>
      <c r="O218" s="1">
        <v>300</v>
      </c>
      <c r="P218" s="8">
        <v>5.16555E-2</v>
      </c>
      <c r="Q218" s="8">
        <v>1.3830899999999999</v>
      </c>
      <c r="R218" s="8">
        <v>9.5102999999999993E-2</v>
      </c>
      <c r="S218" s="8">
        <f>Tabelle1[[#This Row],[corr_x]]/1000</f>
        <v>2.9450850000000002</v>
      </c>
      <c r="T218" s="8">
        <f>Tabelle1[[#This Row],[corr_y]]/1000</f>
        <v>3.4497249999999999</v>
      </c>
      <c r="U218" s="8">
        <f>Tabelle1[[#This Row],[corr_z]]/1000</f>
        <v>11.225</v>
      </c>
      <c r="V218" s="8">
        <f>Tabelle1[[#This Row],[corr_soma_x]]/1000</f>
        <v>9.2583700000000011</v>
      </c>
      <c r="W218" s="8">
        <f>Tabelle1[[#This Row],[corr_soma_y]]/1000</f>
        <v>3.77502</v>
      </c>
      <c r="X218" s="8">
        <f>Tabelle1[[#This Row],[corr_soma_z]]/1000</f>
        <v>0.3</v>
      </c>
    </row>
    <row r="219" spans="1:24" x14ac:dyDescent="0.35">
      <c r="A219" s="7" t="s">
        <v>12</v>
      </c>
      <c r="B219" s="7" t="s">
        <v>18</v>
      </c>
      <c r="C219" s="6">
        <v>25</v>
      </c>
      <c r="D219" s="2">
        <v>2711.94</v>
      </c>
      <c r="E219" s="2">
        <v>3226.2650000000003</v>
      </c>
      <c r="F219" s="2">
        <v>11325</v>
      </c>
      <c r="G219" s="1">
        <v>9258.3700000000008</v>
      </c>
      <c r="H219" s="1">
        <v>3775.02</v>
      </c>
      <c r="I219" s="1">
        <v>300</v>
      </c>
      <c r="J219" s="2">
        <v>2711.94</v>
      </c>
      <c r="K219" s="2">
        <v>3226.2650000000003</v>
      </c>
      <c r="L219" s="2">
        <v>11325</v>
      </c>
      <c r="M219" s="1">
        <v>9258.3700000000008</v>
      </c>
      <c r="N219" s="1">
        <v>3775.02</v>
      </c>
      <c r="O219" s="1">
        <v>300</v>
      </c>
      <c r="P219" s="8">
        <v>6.7845500000000003E-2</v>
      </c>
      <c r="Q219" s="8">
        <v>0.82000899999999999</v>
      </c>
      <c r="R219" s="8">
        <v>4.6126100000000003E-2</v>
      </c>
      <c r="S219" s="8">
        <f>Tabelle1[[#This Row],[corr_x]]/1000</f>
        <v>2.7119400000000002</v>
      </c>
      <c r="T219" s="8">
        <f>Tabelle1[[#This Row],[corr_y]]/1000</f>
        <v>3.2262650000000002</v>
      </c>
      <c r="U219" s="8">
        <f>Tabelle1[[#This Row],[corr_z]]/1000</f>
        <v>11.324999999999999</v>
      </c>
      <c r="V219" s="8">
        <f>Tabelle1[[#This Row],[corr_soma_x]]/1000</f>
        <v>9.2583700000000011</v>
      </c>
      <c r="W219" s="8">
        <f>Tabelle1[[#This Row],[corr_soma_y]]/1000</f>
        <v>3.77502</v>
      </c>
      <c r="X219" s="8">
        <f>Tabelle1[[#This Row],[corr_soma_z]]/1000</f>
        <v>0.3</v>
      </c>
    </row>
    <row r="220" spans="1:24" x14ac:dyDescent="0.35">
      <c r="A220" s="7" t="s">
        <v>12</v>
      </c>
      <c r="B220" s="7" t="s">
        <v>18</v>
      </c>
      <c r="C220" s="6">
        <v>26</v>
      </c>
      <c r="D220" s="2">
        <v>2941.84</v>
      </c>
      <c r="E220" s="2">
        <v>3874.605</v>
      </c>
      <c r="F220" s="2">
        <v>12175</v>
      </c>
      <c r="G220" s="1">
        <v>9258.3700000000008</v>
      </c>
      <c r="H220" s="1">
        <v>3775.02</v>
      </c>
      <c r="I220" s="1">
        <v>300</v>
      </c>
      <c r="J220" s="2">
        <v>2941.84</v>
      </c>
      <c r="K220" s="2">
        <v>3874.605</v>
      </c>
      <c r="L220" s="2">
        <v>12175</v>
      </c>
      <c r="M220" s="1">
        <v>9258.3700000000008</v>
      </c>
      <c r="N220" s="1">
        <v>3775.02</v>
      </c>
      <c r="O220" s="1">
        <v>300</v>
      </c>
      <c r="P220" s="8">
        <v>1.4944600000000001E-2</v>
      </c>
      <c r="Q220" s="8">
        <v>1.6153999999999999</v>
      </c>
      <c r="R220" s="8">
        <v>0.14666799999999999</v>
      </c>
      <c r="S220" s="8">
        <f>Tabelle1[[#This Row],[corr_x]]/1000</f>
        <v>2.94184</v>
      </c>
      <c r="T220" s="8">
        <f>Tabelle1[[#This Row],[corr_y]]/1000</f>
        <v>3.8746049999999999</v>
      </c>
      <c r="U220" s="8">
        <f>Tabelle1[[#This Row],[corr_z]]/1000</f>
        <v>12.175000000000001</v>
      </c>
      <c r="V220" s="8">
        <f>Tabelle1[[#This Row],[corr_soma_x]]/1000</f>
        <v>9.2583700000000011</v>
      </c>
      <c r="W220" s="8">
        <f>Tabelle1[[#This Row],[corr_soma_y]]/1000</f>
        <v>3.77502</v>
      </c>
      <c r="X220" s="8">
        <f>Tabelle1[[#This Row],[corr_soma_z]]/1000</f>
        <v>0.3</v>
      </c>
    </row>
    <row r="221" spans="1:24" x14ac:dyDescent="0.35">
      <c r="A221" s="7" t="s">
        <v>12</v>
      </c>
      <c r="B221" s="7" t="s">
        <v>18</v>
      </c>
      <c r="C221" s="6">
        <v>27</v>
      </c>
      <c r="D221" s="2">
        <v>3131.9300000000003</v>
      </c>
      <c r="E221" s="2">
        <v>4295.08</v>
      </c>
      <c r="F221" s="2">
        <v>13175</v>
      </c>
      <c r="G221" s="1">
        <v>9258.3700000000008</v>
      </c>
      <c r="H221" s="1">
        <v>3775.02</v>
      </c>
      <c r="I221" s="1">
        <v>300</v>
      </c>
      <c r="J221" s="2">
        <v>3131.9300000000003</v>
      </c>
      <c r="K221" s="2">
        <v>4295.08</v>
      </c>
      <c r="L221" s="2">
        <v>13175</v>
      </c>
      <c r="M221" s="1">
        <v>9258.3700000000008</v>
      </c>
      <c r="N221" s="1">
        <v>3775.02</v>
      </c>
      <c r="O221" s="1">
        <v>300</v>
      </c>
      <c r="P221" s="8">
        <v>4.8348599999999999E-2</v>
      </c>
      <c r="Q221" s="8">
        <v>1.1333</v>
      </c>
      <c r="R221" s="8">
        <v>8.6547299999999994E-2</v>
      </c>
      <c r="S221" s="8">
        <f>Tabelle1[[#This Row],[corr_x]]/1000</f>
        <v>3.1319300000000001</v>
      </c>
      <c r="T221" s="8">
        <f>Tabelle1[[#This Row],[corr_y]]/1000</f>
        <v>4.2950799999999996</v>
      </c>
      <c r="U221" s="8">
        <f>Tabelle1[[#This Row],[corr_z]]/1000</f>
        <v>13.175000000000001</v>
      </c>
      <c r="V221" s="8">
        <f>Tabelle1[[#This Row],[corr_soma_x]]/1000</f>
        <v>9.2583700000000011</v>
      </c>
      <c r="W221" s="8">
        <f>Tabelle1[[#This Row],[corr_soma_y]]/1000</f>
        <v>3.77502</v>
      </c>
      <c r="X221" s="8">
        <f>Tabelle1[[#This Row],[corr_soma_z]]/1000</f>
        <v>0.3</v>
      </c>
    </row>
    <row r="222" spans="1:24" x14ac:dyDescent="0.35">
      <c r="A222" s="7" t="s">
        <v>12</v>
      </c>
      <c r="B222" s="7" t="s">
        <v>18</v>
      </c>
      <c r="C222" s="6">
        <v>28</v>
      </c>
      <c r="D222" s="2">
        <v>2909.32</v>
      </c>
      <c r="E222" s="2">
        <v>4531.28</v>
      </c>
      <c r="F222" s="2">
        <v>13650</v>
      </c>
      <c r="G222" s="1">
        <v>9258.3700000000008</v>
      </c>
      <c r="H222" s="1">
        <v>3775.02</v>
      </c>
      <c r="I222" s="1">
        <v>300</v>
      </c>
      <c r="J222" s="2">
        <v>2909.32</v>
      </c>
      <c r="K222" s="2">
        <v>4531.28</v>
      </c>
      <c r="L222" s="2">
        <v>13650</v>
      </c>
      <c r="M222" s="1">
        <v>9258.3700000000008</v>
      </c>
      <c r="N222" s="1">
        <v>3775.02</v>
      </c>
      <c r="O222" s="1">
        <v>300</v>
      </c>
      <c r="P222" s="8">
        <v>7.7095899999999995E-2</v>
      </c>
      <c r="Q222" s="8">
        <v>2.0855999999999999</v>
      </c>
      <c r="R222" s="8">
        <v>0.175341</v>
      </c>
      <c r="S222" s="8">
        <f>Tabelle1[[#This Row],[corr_x]]/1000</f>
        <v>2.9093200000000001</v>
      </c>
      <c r="T222" s="8">
        <f>Tabelle1[[#This Row],[corr_y]]/1000</f>
        <v>4.5312799999999998</v>
      </c>
      <c r="U222" s="8">
        <f>Tabelle1[[#This Row],[corr_z]]/1000</f>
        <v>13.65</v>
      </c>
      <c r="V222" s="8">
        <f>Tabelle1[[#This Row],[corr_soma_x]]/1000</f>
        <v>9.2583700000000011</v>
      </c>
      <c r="W222" s="8">
        <f>Tabelle1[[#This Row],[corr_soma_y]]/1000</f>
        <v>3.77502</v>
      </c>
      <c r="X222" s="8">
        <f>Tabelle1[[#This Row],[corr_soma_z]]/1000</f>
        <v>0.3</v>
      </c>
    </row>
    <row r="223" spans="1:24" x14ac:dyDescent="0.35">
      <c r="A223" s="7" t="s">
        <v>12</v>
      </c>
      <c r="B223" s="7" t="s">
        <v>18</v>
      </c>
      <c r="C223" s="6">
        <v>29</v>
      </c>
      <c r="D223" s="2">
        <v>2988.51</v>
      </c>
      <c r="E223" s="2">
        <v>4618.5</v>
      </c>
      <c r="F223" s="2">
        <v>14350</v>
      </c>
      <c r="G223" s="1">
        <v>9258.3700000000008</v>
      </c>
      <c r="H223" s="1">
        <v>3775.02</v>
      </c>
      <c r="I223" s="1">
        <v>300</v>
      </c>
      <c r="J223" s="2">
        <v>2988.51</v>
      </c>
      <c r="K223" s="2">
        <v>4618.5</v>
      </c>
      <c r="L223" s="2">
        <v>14350</v>
      </c>
      <c r="M223" s="1">
        <v>9258.3700000000008</v>
      </c>
      <c r="N223" s="1">
        <v>3775.02</v>
      </c>
      <c r="O223" s="1">
        <v>300</v>
      </c>
      <c r="P223" s="8">
        <v>8.2155699999999998E-2</v>
      </c>
      <c r="Q223" s="8">
        <v>1.35131</v>
      </c>
      <c r="R223" s="8">
        <v>0.102766</v>
      </c>
      <c r="S223" s="8">
        <f>Tabelle1[[#This Row],[corr_x]]/1000</f>
        <v>2.9885100000000002</v>
      </c>
      <c r="T223" s="8">
        <f>Tabelle1[[#This Row],[corr_y]]/1000</f>
        <v>4.6185</v>
      </c>
      <c r="U223" s="8">
        <f>Tabelle1[[#This Row],[corr_z]]/1000</f>
        <v>14.35</v>
      </c>
      <c r="V223" s="8">
        <f>Tabelle1[[#This Row],[corr_soma_x]]/1000</f>
        <v>9.2583700000000011</v>
      </c>
      <c r="W223" s="8">
        <f>Tabelle1[[#This Row],[corr_soma_y]]/1000</f>
        <v>3.77502</v>
      </c>
      <c r="X223" s="8">
        <f>Tabelle1[[#This Row],[corr_soma_z]]/1000</f>
        <v>0.3</v>
      </c>
    </row>
    <row r="224" spans="1:24" x14ac:dyDescent="0.35">
      <c r="A224" s="7" t="s">
        <v>12</v>
      </c>
      <c r="B224" s="7" t="s">
        <v>18</v>
      </c>
      <c r="C224" s="6">
        <v>30</v>
      </c>
      <c r="D224" s="2">
        <v>2927.54</v>
      </c>
      <c r="E224" s="2">
        <v>3823.1949999999997</v>
      </c>
      <c r="F224" s="2">
        <v>13025</v>
      </c>
      <c r="G224" s="1">
        <v>9258.3700000000008</v>
      </c>
      <c r="H224" s="1">
        <v>3775.02</v>
      </c>
      <c r="I224" s="1">
        <v>300</v>
      </c>
      <c r="J224" s="2">
        <v>2927.54</v>
      </c>
      <c r="K224" s="2">
        <v>3823.1949999999997</v>
      </c>
      <c r="L224" s="2">
        <v>13025</v>
      </c>
      <c r="M224" s="1">
        <v>9258.3700000000008</v>
      </c>
      <c r="N224" s="1">
        <v>3775.02</v>
      </c>
      <c r="O224" s="1">
        <v>300</v>
      </c>
      <c r="P224" s="8">
        <v>5.6071199999999995E-2</v>
      </c>
      <c r="Q224" s="8">
        <v>0.85251299999999997</v>
      </c>
      <c r="R224" s="8">
        <v>4.2115300000000001E-2</v>
      </c>
      <c r="S224" s="8">
        <f>Tabelle1[[#This Row],[corr_x]]/1000</f>
        <v>2.92754</v>
      </c>
      <c r="T224" s="8">
        <f>Tabelle1[[#This Row],[corr_y]]/1000</f>
        <v>3.8231949999999997</v>
      </c>
      <c r="U224" s="8">
        <f>Tabelle1[[#This Row],[corr_z]]/1000</f>
        <v>13.025</v>
      </c>
      <c r="V224" s="8">
        <f>Tabelle1[[#This Row],[corr_soma_x]]/1000</f>
        <v>9.2583700000000011</v>
      </c>
      <c r="W224" s="8">
        <f>Tabelle1[[#This Row],[corr_soma_y]]/1000</f>
        <v>3.77502</v>
      </c>
      <c r="X224" s="8">
        <f>Tabelle1[[#This Row],[corr_soma_z]]/1000</f>
        <v>0.3</v>
      </c>
    </row>
    <row r="225" spans="1:24" x14ac:dyDescent="0.35">
      <c r="A225" s="7" t="s">
        <v>12</v>
      </c>
      <c r="B225" s="7" t="s">
        <v>19</v>
      </c>
      <c r="C225" s="6">
        <v>4</v>
      </c>
      <c r="D225" s="2">
        <v>2784.4949999999999</v>
      </c>
      <c r="E225" s="2">
        <v>4383.8249999999998</v>
      </c>
      <c r="F225" s="2">
        <v>14975</v>
      </c>
      <c r="G225" s="1">
        <v>9258.3700000000008</v>
      </c>
      <c r="H225" s="1">
        <v>3775.02</v>
      </c>
      <c r="I225" s="1">
        <v>300</v>
      </c>
      <c r="J225" s="2">
        <v>2784.4949999999999</v>
      </c>
      <c r="K225" s="2">
        <v>4383.8249999999998</v>
      </c>
      <c r="L225" s="2">
        <v>14975</v>
      </c>
      <c r="M225" s="1">
        <v>9258.3700000000008</v>
      </c>
      <c r="N225" s="1">
        <v>3775.02</v>
      </c>
      <c r="O225" s="1">
        <v>300</v>
      </c>
      <c r="P225" s="8">
        <v>3.7513900000000003E-2</v>
      </c>
      <c r="Q225" s="8">
        <v>2.3391600000000001</v>
      </c>
      <c r="R225" s="8">
        <v>0.19193299999999999</v>
      </c>
      <c r="S225" s="8">
        <f>Tabelle1[[#This Row],[corr_x]]/1000</f>
        <v>2.7844949999999997</v>
      </c>
      <c r="T225" s="8">
        <f>Tabelle1[[#This Row],[corr_y]]/1000</f>
        <v>4.3838249999999999</v>
      </c>
      <c r="U225" s="8">
        <f>Tabelle1[[#This Row],[corr_z]]/1000</f>
        <v>14.975</v>
      </c>
      <c r="V225" s="8">
        <f>Tabelle1[[#This Row],[corr_soma_x]]/1000</f>
        <v>9.2583700000000011</v>
      </c>
      <c r="W225" s="8">
        <f>Tabelle1[[#This Row],[corr_soma_y]]/1000</f>
        <v>3.77502</v>
      </c>
      <c r="X225" s="8">
        <f>Tabelle1[[#This Row],[corr_soma_z]]/1000</f>
        <v>0.3</v>
      </c>
    </row>
    <row r="226" spans="1:24" x14ac:dyDescent="0.35">
      <c r="A226" s="7" t="s">
        <v>12</v>
      </c>
      <c r="B226" s="7" t="s">
        <v>18</v>
      </c>
      <c r="C226" s="6">
        <v>31</v>
      </c>
      <c r="D226" s="2">
        <v>2927.35</v>
      </c>
      <c r="E226" s="2">
        <v>4160.8500000000004</v>
      </c>
      <c r="F226" s="2">
        <v>14150</v>
      </c>
      <c r="G226" s="1">
        <v>9258.3700000000008</v>
      </c>
      <c r="H226" s="1">
        <v>3775.02</v>
      </c>
      <c r="I226" s="1">
        <v>300</v>
      </c>
      <c r="J226" s="2">
        <v>2927.35</v>
      </c>
      <c r="K226" s="2">
        <v>4160.8500000000004</v>
      </c>
      <c r="L226" s="2">
        <v>14150</v>
      </c>
      <c r="M226" s="1">
        <v>9258.3700000000008</v>
      </c>
      <c r="N226" s="1">
        <v>3775.02</v>
      </c>
      <c r="O226" s="1">
        <v>300</v>
      </c>
      <c r="P226" s="8">
        <v>7.1699600000000002E-2</v>
      </c>
      <c r="Q226" s="8">
        <v>2.9778500000000001</v>
      </c>
      <c r="R226" s="8">
        <v>0.31053799999999998</v>
      </c>
      <c r="S226" s="8">
        <f>Tabelle1[[#This Row],[corr_x]]/1000</f>
        <v>2.9273500000000001</v>
      </c>
      <c r="T226" s="8">
        <f>Tabelle1[[#This Row],[corr_y]]/1000</f>
        <v>4.1608499999999999</v>
      </c>
      <c r="U226" s="8">
        <f>Tabelle1[[#This Row],[corr_z]]/1000</f>
        <v>14.15</v>
      </c>
      <c r="V226" s="8">
        <f>Tabelle1[[#This Row],[corr_soma_x]]/1000</f>
        <v>9.2583700000000011</v>
      </c>
      <c r="W226" s="8">
        <f>Tabelle1[[#This Row],[corr_soma_y]]/1000</f>
        <v>3.77502</v>
      </c>
      <c r="X226" s="8">
        <f>Tabelle1[[#This Row],[corr_soma_z]]/1000</f>
        <v>0.3</v>
      </c>
    </row>
    <row r="227" spans="1:24" x14ac:dyDescent="0.35">
      <c r="A227" s="7" t="s">
        <v>12</v>
      </c>
      <c r="B227" s="7" t="s">
        <v>18</v>
      </c>
      <c r="C227" s="6">
        <v>32</v>
      </c>
      <c r="D227" s="2">
        <v>2786.7200000000003</v>
      </c>
      <c r="E227" s="2">
        <v>5040.08</v>
      </c>
      <c r="F227" s="2">
        <v>15975</v>
      </c>
      <c r="G227" s="1">
        <v>9258.3700000000008</v>
      </c>
      <c r="H227" s="1">
        <v>3775.02</v>
      </c>
      <c r="I227" s="1">
        <v>300</v>
      </c>
      <c r="J227" s="2">
        <v>2786.7200000000003</v>
      </c>
      <c r="K227" s="2">
        <v>5040.08</v>
      </c>
      <c r="L227" s="2">
        <v>15975</v>
      </c>
      <c r="M227" s="1">
        <v>9258.3700000000008</v>
      </c>
      <c r="N227" s="1">
        <v>3775.02</v>
      </c>
      <c r="O227" s="1">
        <v>300</v>
      </c>
      <c r="P227" s="8">
        <v>3.9967699999999995E-2</v>
      </c>
      <c r="Q227" s="8">
        <v>0.75380599999999998</v>
      </c>
      <c r="R227" s="8">
        <v>4.2107600000000002E-2</v>
      </c>
      <c r="S227" s="8">
        <f>Tabelle1[[#This Row],[corr_x]]/1000</f>
        <v>2.7867200000000003</v>
      </c>
      <c r="T227" s="8">
        <f>Tabelle1[[#This Row],[corr_y]]/1000</f>
        <v>5.0400799999999997</v>
      </c>
      <c r="U227" s="8">
        <f>Tabelle1[[#This Row],[corr_z]]/1000</f>
        <v>15.975</v>
      </c>
      <c r="V227" s="8">
        <f>Tabelle1[[#This Row],[corr_soma_x]]/1000</f>
        <v>9.2583700000000011</v>
      </c>
      <c r="W227" s="8">
        <f>Tabelle1[[#This Row],[corr_soma_y]]/1000</f>
        <v>3.77502</v>
      </c>
      <c r="X227" s="8">
        <f>Tabelle1[[#This Row],[corr_soma_z]]/1000</f>
        <v>0.3</v>
      </c>
    </row>
    <row r="228" spans="1:24" x14ac:dyDescent="0.35">
      <c r="A228" s="7" t="s">
        <v>12</v>
      </c>
      <c r="B228" s="7" t="s">
        <v>18</v>
      </c>
      <c r="C228" s="6">
        <v>33</v>
      </c>
      <c r="D228" s="2">
        <v>3004.97</v>
      </c>
      <c r="E228" s="2">
        <v>4576.29</v>
      </c>
      <c r="F228" s="2">
        <v>16050</v>
      </c>
      <c r="G228" s="1">
        <v>9258.3700000000008</v>
      </c>
      <c r="H228" s="1">
        <v>3775.02</v>
      </c>
      <c r="I228" s="1">
        <v>300</v>
      </c>
      <c r="J228" s="2">
        <v>3004.97</v>
      </c>
      <c r="K228" s="2">
        <v>4576.29</v>
      </c>
      <c r="L228" s="2">
        <v>16050</v>
      </c>
      <c r="M228" s="1">
        <v>9258.3700000000008</v>
      </c>
      <c r="N228" s="1">
        <v>3775.02</v>
      </c>
      <c r="O228" s="1">
        <v>300</v>
      </c>
      <c r="P228" s="8">
        <v>4.1944199999999994E-2</v>
      </c>
      <c r="Q228" s="8">
        <v>0.68999299999999997</v>
      </c>
      <c r="R228" s="8">
        <v>3.4121499999999999E-2</v>
      </c>
      <c r="S228" s="8">
        <f>Tabelle1[[#This Row],[corr_x]]/1000</f>
        <v>3.0049699999999997</v>
      </c>
      <c r="T228" s="8">
        <f>Tabelle1[[#This Row],[corr_y]]/1000</f>
        <v>4.5762900000000002</v>
      </c>
      <c r="U228" s="8">
        <f>Tabelle1[[#This Row],[corr_z]]/1000</f>
        <v>16.05</v>
      </c>
      <c r="V228" s="8">
        <f>Tabelle1[[#This Row],[corr_soma_x]]/1000</f>
        <v>9.2583700000000011</v>
      </c>
      <c r="W228" s="8">
        <f>Tabelle1[[#This Row],[corr_soma_y]]/1000</f>
        <v>3.77502</v>
      </c>
      <c r="X228" s="8">
        <f>Tabelle1[[#This Row],[corr_soma_z]]/1000</f>
        <v>0.3</v>
      </c>
    </row>
    <row r="229" spans="1:24" x14ac:dyDescent="0.35">
      <c r="A229" s="7" t="s">
        <v>12</v>
      </c>
      <c r="B229" s="7" t="s">
        <v>18</v>
      </c>
      <c r="C229" s="6">
        <v>34</v>
      </c>
      <c r="D229" s="2">
        <v>2784.64</v>
      </c>
      <c r="E229" s="2">
        <v>4527.6099999999997</v>
      </c>
      <c r="F229" s="2">
        <v>16400</v>
      </c>
      <c r="G229" s="1">
        <v>9258.3700000000008</v>
      </c>
      <c r="H229" s="1">
        <v>3775.02</v>
      </c>
      <c r="I229" s="1">
        <v>300</v>
      </c>
      <c r="J229" s="2">
        <v>2784.64</v>
      </c>
      <c r="K229" s="2">
        <v>4527.6099999999997</v>
      </c>
      <c r="L229" s="2">
        <v>16400</v>
      </c>
      <c r="M229" s="1">
        <v>9258.3700000000008</v>
      </c>
      <c r="N229" s="1">
        <v>3775.02</v>
      </c>
      <c r="O229" s="1">
        <v>300</v>
      </c>
      <c r="P229" s="8">
        <v>4.6598000000000001E-2</v>
      </c>
      <c r="Q229" s="8">
        <v>0.85585900000000004</v>
      </c>
      <c r="R229" s="8">
        <v>3.8174800000000002E-2</v>
      </c>
      <c r="S229" s="8">
        <f>Tabelle1[[#This Row],[corr_x]]/1000</f>
        <v>2.78464</v>
      </c>
      <c r="T229" s="8">
        <f>Tabelle1[[#This Row],[corr_y]]/1000</f>
        <v>4.5276099999999992</v>
      </c>
      <c r="U229" s="8">
        <f>Tabelle1[[#This Row],[corr_z]]/1000</f>
        <v>16.399999999999999</v>
      </c>
      <c r="V229" s="8">
        <f>Tabelle1[[#This Row],[corr_soma_x]]/1000</f>
        <v>9.2583700000000011</v>
      </c>
      <c r="W229" s="8">
        <f>Tabelle1[[#This Row],[corr_soma_y]]/1000</f>
        <v>3.77502</v>
      </c>
      <c r="X229" s="8">
        <f>Tabelle1[[#This Row],[corr_soma_z]]/1000</f>
        <v>0.3</v>
      </c>
    </row>
    <row r="230" spans="1:24" x14ac:dyDescent="0.35">
      <c r="A230" s="7" t="s">
        <v>12</v>
      </c>
      <c r="B230" s="7" t="s">
        <v>18</v>
      </c>
      <c r="C230" s="6">
        <v>35</v>
      </c>
      <c r="D230" s="2">
        <v>2468.1949999999997</v>
      </c>
      <c r="E230" s="2">
        <v>4856.2299999999996</v>
      </c>
      <c r="F230" s="2">
        <v>16925</v>
      </c>
      <c r="G230" s="1">
        <v>9258.3700000000008</v>
      </c>
      <c r="H230" s="1">
        <v>3775.02</v>
      </c>
      <c r="I230" s="1">
        <v>300</v>
      </c>
      <c r="J230" s="2">
        <v>2468.1949999999997</v>
      </c>
      <c r="K230" s="2">
        <v>4856.2299999999996</v>
      </c>
      <c r="L230" s="2">
        <v>16925</v>
      </c>
      <c r="M230" s="1">
        <v>9258.3700000000008</v>
      </c>
      <c r="N230" s="1">
        <v>3775.02</v>
      </c>
      <c r="O230" s="1">
        <v>300</v>
      </c>
      <c r="P230" s="8">
        <v>8.1457399999999999E-2</v>
      </c>
      <c r="Q230" s="8">
        <v>1.2279800000000001</v>
      </c>
      <c r="R230" s="8">
        <v>8.6557700000000001E-2</v>
      </c>
      <c r="S230" s="8">
        <f>Tabelle1[[#This Row],[corr_x]]/1000</f>
        <v>2.4681949999999997</v>
      </c>
      <c r="T230" s="8">
        <f>Tabelle1[[#This Row],[corr_y]]/1000</f>
        <v>4.8562299999999992</v>
      </c>
      <c r="U230" s="8">
        <f>Tabelle1[[#This Row],[corr_z]]/1000</f>
        <v>16.925000000000001</v>
      </c>
      <c r="V230" s="8">
        <f>Tabelle1[[#This Row],[corr_soma_x]]/1000</f>
        <v>9.2583700000000011</v>
      </c>
      <c r="W230" s="8">
        <f>Tabelle1[[#This Row],[corr_soma_y]]/1000</f>
        <v>3.77502</v>
      </c>
      <c r="X230" s="8">
        <f>Tabelle1[[#This Row],[corr_soma_z]]/1000</f>
        <v>0.3</v>
      </c>
    </row>
    <row r="231" spans="1:24" x14ac:dyDescent="0.35">
      <c r="A231" s="7" t="s">
        <v>12</v>
      </c>
      <c r="B231" s="7" t="s">
        <v>18</v>
      </c>
      <c r="C231" s="6">
        <v>36</v>
      </c>
      <c r="D231" s="2">
        <v>2660.61</v>
      </c>
      <c r="E231" s="2">
        <v>4856.4399999999996</v>
      </c>
      <c r="F231" s="2">
        <v>17850</v>
      </c>
      <c r="G231" s="1">
        <v>9258.3700000000008</v>
      </c>
      <c r="H231" s="1">
        <v>3775.02</v>
      </c>
      <c r="I231" s="1">
        <v>300</v>
      </c>
      <c r="J231" s="2">
        <v>2660.61</v>
      </c>
      <c r="K231" s="2">
        <v>4856.4399999999996</v>
      </c>
      <c r="L231" s="2">
        <v>17850</v>
      </c>
      <c r="M231" s="1">
        <v>9258.3700000000008</v>
      </c>
      <c r="N231" s="1">
        <v>3775.02</v>
      </c>
      <c r="O231" s="1">
        <v>300</v>
      </c>
      <c r="P231" s="8">
        <v>3.6265800000000001E-2</v>
      </c>
      <c r="Q231" s="8">
        <v>0.64290999999999998</v>
      </c>
      <c r="R231" s="8">
        <v>3.84713E-2</v>
      </c>
      <c r="S231" s="8">
        <f>Tabelle1[[#This Row],[corr_x]]/1000</f>
        <v>2.6606100000000001</v>
      </c>
      <c r="T231" s="8">
        <f>Tabelle1[[#This Row],[corr_y]]/1000</f>
        <v>4.8564399999999992</v>
      </c>
      <c r="U231" s="8">
        <f>Tabelle1[[#This Row],[corr_z]]/1000</f>
        <v>17.850000000000001</v>
      </c>
      <c r="V231" s="8">
        <f>Tabelle1[[#This Row],[corr_soma_x]]/1000</f>
        <v>9.2583700000000011</v>
      </c>
      <c r="W231" s="8">
        <f>Tabelle1[[#This Row],[corr_soma_y]]/1000</f>
        <v>3.77502</v>
      </c>
      <c r="X231" s="8">
        <f>Tabelle1[[#This Row],[corr_soma_z]]/1000</f>
        <v>0.3</v>
      </c>
    </row>
    <row r="232" spans="1:24" x14ac:dyDescent="0.35">
      <c r="A232" s="7" t="s">
        <v>12</v>
      </c>
      <c r="B232" s="7" t="s">
        <v>18</v>
      </c>
      <c r="C232" s="6">
        <v>37</v>
      </c>
      <c r="D232" s="2">
        <v>2675.25</v>
      </c>
      <c r="E232" s="2">
        <v>4829.34</v>
      </c>
      <c r="F232" s="2">
        <v>18200</v>
      </c>
      <c r="G232" s="1">
        <v>9258.3700000000008</v>
      </c>
      <c r="H232" s="1">
        <v>3775.02</v>
      </c>
      <c r="I232" s="1">
        <v>300</v>
      </c>
      <c r="J232" s="2">
        <v>2675.25</v>
      </c>
      <c r="K232" s="2">
        <v>4829.34</v>
      </c>
      <c r="L232" s="2">
        <v>18200</v>
      </c>
      <c r="M232" s="1">
        <v>9258.3700000000008</v>
      </c>
      <c r="N232" s="1">
        <v>3775.02</v>
      </c>
      <c r="O232" s="1">
        <v>300</v>
      </c>
      <c r="P232" s="8">
        <v>2.1436799999999999E-2</v>
      </c>
      <c r="Q232" s="8">
        <v>1.24447</v>
      </c>
      <c r="R232" s="8">
        <v>6.7491300000000004E-2</v>
      </c>
      <c r="S232" s="8">
        <f>Tabelle1[[#This Row],[corr_x]]/1000</f>
        <v>2.6752500000000001</v>
      </c>
      <c r="T232" s="8">
        <f>Tabelle1[[#This Row],[corr_y]]/1000</f>
        <v>4.8293400000000002</v>
      </c>
      <c r="U232" s="8">
        <f>Tabelle1[[#This Row],[corr_z]]/1000</f>
        <v>18.2</v>
      </c>
      <c r="V232" s="8">
        <f>Tabelle1[[#This Row],[corr_soma_x]]/1000</f>
        <v>9.2583700000000011</v>
      </c>
      <c r="W232" s="8">
        <f>Tabelle1[[#This Row],[corr_soma_y]]/1000</f>
        <v>3.77502</v>
      </c>
      <c r="X232" s="8">
        <f>Tabelle1[[#This Row],[corr_soma_z]]/1000</f>
        <v>0.3</v>
      </c>
    </row>
    <row r="233" spans="1:24" x14ac:dyDescent="0.35">
      <c r="A233" s="7" t="s">
        <v>12</v>
      </c>
      <c r="B233" s="7" t="s">
        <v>18</v>
      </c>
      <c r="C233" s="6">
        <v>38</v>
      </c>
      <c r="D233" s="2">
        <v>2634.7150000000001</v>
      </c>
      <c r="E233" s="2">
        <v>5009.79</v>
      </c>
      <c r="F233" s="2">
        <v>19375</v>
      </c>
      <c r="G233" s="1">
        <v>9258.3700000000008</v>
      </c>
      <c r="H233" s="1">
        <v>3775.02</v>
      </c>
      <c r="I233" s="1">
        <v>300</v>
      </c>
      <c r="J233" s="2">
        <v>2634.7150000000001</v>
      </c>
      <c r="K233" s="2">
        <v>5009.79</v>
      </c>
      <c r="L233" s="2">
        <v>19375</v>
      </c>
      <c r="M233" s="1">
        <v>9258.3700000000008</v>
      </c>
      <c r="N233" s="1">
        <v>3775.02</v>
      </c>
      <c r="O233" s="1">
        <v>300</v>
      </c>
      <c r="P233" s="8">
        <v>0.10118000000000001</v>
      </c>
      <c r="Q233" s="8">
        <v>1.96028</v>
      </c>
      <c r="R233" s="8">
        <v>0.152255</v>
      </c>
      <c r="S233" s="8">
        <f>Tabelle1[[#This Row],[corr_x]]/1000</f>
        <v>2.6347150000000004</v>
      </c>
      <c r="T233" s="8">
        <f>Tabelle1[[#This Row],[corr_y]]/1000</f>
        <v>5.0097899999999997</v>
      </c>
      <c r="U233" s="8">
        <f>Tabelle1[[#This Row],[corr_z]]/1000</f>
        <v>19.375</v>
      </c>
      <c r="V233" s="8">
        <f>Tabelle1[[#This Row],[corr_soma_x]]/1000</f>
        <v>9.2583700000000011</v>
      </c>
      <c r="W233" s="8">
        <f>Tabelle1[[#This Row],[corr_soma_y]]/1000</f>
        <v>3.77502</v>
      </c>
      <c r="X233" s="8">
        <f>Tabelle1[[#This Row],[corr_soma_z]]/1000</f>
        <v>0.3</v>
      </c>
    </row>
    <row r="234" spans="1:24" x14ac:dyDescent="0.35">
      <c r="A234" s="7" t="s">
        <v>12</v>
      </c>
      <c r="B234" s="7" t="s">
        <v>18</v>
      </c>
      <c r="C234" s="6">
        <v>39</v>
      </c>
      <c r="D234" s="2">
        <v>2523.84</v>
      </c>
      <c r="E234" s="2">
        <v>5242.7700000000004</v>
      </c>
      <c r="F234" s="2">
        <v>20900</v>
      </c>
      <c r="G234" s="1">
        <v>9258.3700000000008</v>
      </c>
      <c r="H234" s="1">
        <v>3775.02</v>
      </c>
      <c r="I234" s="1">
        <v>300</v>
      </c>
      <c r="J234" s="2">
        <v>2523.84</v>
      </c>
      <c r="K234" s="2">
        <v>5242.7700000000004</v>
      </c>
      <c r="L234" s="2">
        <v>20900</v>
      </c>
      <c r="M234" s="1">
        <v>9258.3700000000008</v>
      </c>
      <c r="N234" s="1">
        <v>3775.02</v>
      </c>
      <c r="O234" s="1">
        <v>300</v>
      </c>
      <c r="P234" s="8">
        <v>9.1799000000000006E-2</v>
      </c>
      <c r="Q234" s="8">
        <v>1.1682300000000001</v>
      </c>
      <c r="R234" s="8">
        <v>5.3746000000000002E-2</v>
      </c>
      <c r="S234" s="8">
        <f>Tabelle1[[#This Row],[corr_x]]/1000</f>
        <v>2.5238400000000003</v>
      </c>
      <c r="T234" s="8">
        <f>Tabelle1[[#This Row],[corr_y]]/1000</f>
        <v>5.2427700000000002</v>
      </c>
      <c r="U234" s="8">
        <f>Tabelle1[[#This Row],[corr_z]]/1000</f>
        <v>20.9</v>
      </c>
      <c r="V234" s="8">
        <f>Tabelle1[[#This Row],[corr_soma_x]]/1000</f>
        <v>9.2583700000000011</v>
      </c>
      <c r="W234" s="8">
        <f>Tabelle1[[#This Row],[corr_soma_y]]/1000</f>
        <v>3.77502</v>
      </c>
      <c r="X234" s="8">
        <f>Tabelle1[[#This Row],[corr_soma_z]]/1000</f>
        <v>0.3</v>
      </c>
    </row>
    <row r="235" spans="1:24" x14ac:dyDescent="0.35">
      <c r="A235" s="7" t="s">
        <v>12</v>
      </c>
      <c r="B235" s="7" t="s">
        <v>18</v>
      </c>
      <c r="C235" s="6">
        <v>40</v>
      </c>
      <c r="D235" s="2">
        <v>2893.04</v>
      </c>
      <c r="E235" s="2">
        <v>5621.085</v>
      </c>
      <c r="F235" s="2">
        <v>21375</v>
      </c>
      <c r="G235" s="1">
        <v>9258.3700000000008</v>
      </c>
      <c r="H235" s="1">
        <v>3775.02</v>
      </c>
      <c r="I235" s="1">
        <v>300</v>
      </c>
      <c r="J235" s="2">
        <v>2893.04</v>
      </c>
      <c r="K235" s="2">
        <v>5621.085</v>
      </c>
      <c r="L235" s="2">
        <v>21375</v>
      </c>
      <c r="M235" s="1">
        <v>9258.3700000000008</v>
      </c>
      <c r="N235" s="1">
        <v>3775.02</v>
      </c>
      <c r="O235" s="1">
        <v>300</v>
      </c>
      <c r="P235" s="8">
        <v>8.91314E-2</v>
      </c>
      <c r="Q235" s="8">
        <v>2.8778000000000001</v>
      </c>
      <c r="R235" s="8">
        <v>0.20705999999999999</v>
      </c>
      <c r="S235" s="8">
        <f>Tabelle1[[#This Row],[corr_x]]/1000</f>
        <v>2.8930400000000001</v>
      </c>
      <c r="T235" s="8">
        <f>Tabelle1[[#This Row],[corr_y]]/1000</f>
        <v>5.6210849999999999</v>
      </c>
      <c r="U235" s="8">
        <f>Tabelle1[[#This Row],[corr_z]]/1000</f>
        <v>21.375</v>
      </c>
      <c r="V235" s="8">
        <f>Tabelle1[[#This Row],[corr_soma_x]]/1000</f>
        <v>9.2583700000000011</v>
      </c>
      <c r="W235" s="8">
        <f>Tabelle1[[#This Row],[corr_soma_y]]/1000</f>
        <v>3.77502</v>
      </c>
      <c r="X235" s="8">
        <f>Tabelle1[[#This Row],[corr_soma_z]]/1000</f>
        <v>0.3</v>
      </c>
    </row>
    <row r="236" spans="1:24" x14ac:dyDescent="0.35">
      <c r="A236" s="7" t="s">
        <v>12</v>
      </c>
      <c r="B236" s="7" t="s">
        <v>18</v>
      </c>
      <c r="C236" s="6">
        <v>41</v>
      </c>
      <c r="D236" s="2">
        <v>3046.25</v>
      </c>
      <c r="E236" s="2">
        <v>5749.4</v>
      </c>
      <c r="F236" s="2">
        <v>21950</v>
      </c>
      <c r="G236" s="1">
        <v>9258.3700000000008</v>
      </c>
      <c r="H236" s="1">
        <v>3775.02</v>
      </c>
      <c r="I236" s="1">
        <v>300</v>
      </c>
      <c r="J236" s="2">
        <v>3046.25</v>
      </c>
      <c r="K236" s="2">
        <v>5749.4</v>
      </c>
      <c r="L236" s="2">
        <v>21950</v>
      </c>
      <c r="M236" s="1">
        <v>9258.3700000000008</v>
      </c>
      <c r="N236" s="1">
        <v>3775.02</v>
      </c>
      <c r="O236" s="1">
        <v>300</v>
      </c>
      <c r="P236" s="8">
        <v>9.7879100000000011E-2</v>
      </c>
      <c r="Q236" s="8">
        <v>1.40269</v>
      </c>
      <c r="R236" s="8">
        <v>9.2869599999999997E-2</v>
      </c>
      <c r="S236" s="8">
        <f>Tabelle1[[#This Row],[corr_x]]/1000</f>
        <v>3.0462500000000001</v>
      </c>
      <c r="T236" s="8">
        <f>Tabelle1[[#This Row],[corr_y]]/1000</f>
        <v>5.7493999999999996</v>
      </c>
      <c r="U236" s="8">
        <f>Tabelle1[[#This Row],[corr_z]]/1000</f>
        <v>21.95</v>
      </c>
      <c r="V236" s="8">
        <f>Tabelle1[[#This Row],[corr_soma_x]]/1000</f>
        <v>9.2583700000000011</v>
      </c>
      <c r="W236" s="8">
        <f>Tabelle1[[#This Row],[corr_soma_y]]/1000</f>
        <v>3.77502</v>
      </c>
      <c r="X236" s="8">
        <f>Tabelle1[[#This Row],[corr_soma_z]]/1000</f>
        <v>0.3</v>
      </c>
    </row>
    <row r="237" spans="1:24" x14ac:dyDescent="0.35">
      <c r="A237" s="7" t="s">
        <v>12</v>
      </c>
      <c r="B237" s="7" t="s">
        <v>18</v>
      </c>
      <c r="C237" s="6">
        <v>42</v>
      </c>
      <c r="D237" s="2">
        <v>3061.66</v>
      </c>
      <c r="E237" s="2">
        <v>5868.95</v>
      </c>
      <c r="F237" s="2">
        <v>22700</v>
      </c>
      <c r="G237" s="1">
        <v>9258.3700000000008</v>
      </c>
      <c r="H237" s="1">
        <v>3775.02</v>
      </c>
      <c r="I237" s="1">
        <v>300</v>
      </c>
      <c r="J237" s="2">
        <v>3061.66</v>
      </c>
      <c r="K237" s="2">
        <v>5868.95</v>
      </c>
      <c r="L237" s="2">
        <v>22700</v>
      </c>
      <c r="M237" s="1">
        <v>9258.3700000000008</v>
      </c>
      <c r="N237" s="1">
        <v>3775.02</v>
      </c>
      <c r="O237" s="1">
        <v>300</v>
      </c>
      <c r="P237" s="8">
        <v>4.7020599999999996E-2</v>
      </c>
      <c r="Q237" s="8">
        <v>1.3384</v>
      </c>
      <c r="R237" s="8">
        <v>7.4420399999999998E-2</v>
      </c>
      <c r="S237" s="8">
        <f>Tabelle1[[#This Row],[corr_x]]/1000</f>
        <v>3.0616599999999998</v>
      </c>
      <c r="T237" s="8">
        <f>Tabelle1[[#This Row],[corr_y]]/1000</f>
        <v>5.8689499999999999</v>
      </c>
      <c r="U237" s="8">
        <f>Tabelle1[[#This Row],[corr_z]]/1000</f>
        <v>22.7</v>
      </c>
      <c r="V237" s="8">
        <f>Tabelle1[[#This Row],[corr_soma_x]]/1000</f>
        <v>9.2583700000000011</v>
      </c>
      <c r="W237" s="8">
        <f>Tabelle1[[#This Row],[corr_soma_y]]/1000</f>
        <v>3.77502</v>
      </c>
      <c r="X237" s="8">
        <f>Tabelle1[[#This Row],[corr_soma_z]]/1000</f>
        <v>0.3</v>
      </c>
    </row>
    <row r="238" spans="1:24" x14ac:dyDescent="0.35">
      <c r="A238" s="7" t="s">
        <v>12</v>
      </c>
      <c r="B238" s="7" t="s">
        <v>18</v>
      </c>
      <c r="C238" s="6">
        <v>43</v>
      </c>
      <c r="D238" s="2">
        <v>2966.43</v>
      </c>
      <c r="E238" s="2">
        <v>5919.99</v>
      </c>
      <c r="F238" s="2">
        <v>23400</v>
      </c>
      <c r="G238" s="1">
        <v>9258.3700000000008</v>
      </c>
      <c r="H238" s="1">
        <v>3775.02</v>
      </c>
      <c r="I238" s="1">
        <v>300</v>
      </c>
      <c r="J238" s="2">
        <v>2966.43</v>
      </c>
      <c r="K238" s="2">
        <v>5919.99</v>
      </c>
      <c r="L238" s="2">
        <v>23400</v>
      </c>
      <c r="M238" s="1">
        <v>9258.3700000000008</v>
      </c>
      <c r="N238" s="1">
        <v>3775.02</v>
      </c>
      <c r="O238" s="1">
        <v>300</v>
      </c>
      <c r="P238" s="8">
        <v>9.0698399999999998E-2</v>
      </c>
      <c r="Q238" s="8">
        <v>1.09605</v>
      </c>
      <c r="R238" s="8">
        <v>8.6651400000000003E-2</v>
      </c>
      <c r="S238" s="8">
        <f>Tabelle1[[#This Row],[corr_x]]/1000</f>
        <v>2.9664299999999999</v>
      </c>
      <c r="T238" s="8">
        <f>Tabelle1[[#This Row],[corr_y]]/1000</f>
        <v>5.9199899999999994</v>
      </c>
      <c r="U238" s="8">
        <f>Tabelle1[[#This Row],[corr_z]]/1000</f>
        <v>23.4</v>
      </c>
      <c r="V238" s="8">
        <f>Tabelle1[[#This Row],[corr_soma_x]]/1000</f>
        <v>9.2583700000000011</v>
      </c>
      <c r="W238" s="8">
        <f>Tabelle1[[#This Row],[corr_soma_y]]/1000</f>
        <v>3.77502</v>
      </c>
      <c r="X238" s="8">
        <f>Tabelle1[[#This Row],[corr_soma_z]]/1000</f>
        <v>0.3</v>
      </c>
    </row>
    <row r="239" spans="1:24" x14ac:dyDescent="0.35">
      <c r="A239" s="7" t="s">
        <v>12</v>
      </c>
      <c r="B239" s="7" t="s">
        <v>18</v>
      </c>
      <c r="C239" s="6">
        <v>44</v>
      </c>
      <c r="D239" s="2">
        <v>3131.04</v>
      </c>
      <c r="E239" s="2">
        <v>6184.03</v>
      </c>
      <c r="F239" s="2">
        <v>23450</v>
      </c>
      <c r="G239" s="1">
        <v>9258.3700000000008</v>
      </c>
      <c r="H239" s="1">
        <v>3775.02</v>
      </c>
      <c r="I239" s="1">
        <v>300</v>
      </c>
      <c r="J239" s="2">
        <v>3131.04</v>
      </c>
      <c r="K239" s="2">
        <v>6184.03</v>
      </c>
      <c r="L239" s="2">
        <v>23450</v>
      </c>
      <c r="M239" s="1">
        <v>9258.3700000000008</v>
      </c>
      <c r="N239" s="1">
        <v>3775.02</v>
      </c>
      <c r="O239" s="1">
        <v>300</v>
      </c>
      <c r="P239" s="8">
        <v>6.2825300000000001E-2</v>
      </c>
      <c r="Q239" s="8">
        <v>1.63524</v>
      </c>
      <c r="R239" s="8">
        <v>0.137825</v>
      </c>
      <c r="S239" s="8">
        <f>Tabelle1[[#This Row],[corr_x]]/1000</f>
        <v>3.13104</v>
      </c>
      <c r="T239" s="8">
        <f>Tabelle1[[#This Row],[corr_y]]/1000</f>
        <v>6.1840299999999999</v>
      </c>
      <c r="U239" s="8">
        <f>Tabelle1[[#This Row],[corr_z]]/1000</f>
        <v>23.45</v>
      </c>
      <c r="V239" s="8">
        <f>Tabelle1[[#This Row],[corr_soma_x]]/1000</f>
        <v>9.2583700000000011</v>
      </c>
      <c r="W239" s="8">
        <f>Tabelle1[[#This Row],[corr_soma_y]]/1000</f>
        <v>3.77502</v>
      </c>
      <c r="X239" s="8">
        <f>Tabelle1[[#This Row],[corr_soma_z]]/1000</f>
        <v>0.3</v>
      </c>
    </row>
    <row r="240" spans="1:24" x14ac:dyDescent="0.35">
      <c r="A240" s="7" t="s">
        <v>12</v>
      </c>
      <c r="B240" s="7" t="s">
        <v>18</v>
      </c>
      <c r="C240" s="6">
        <v>45</v>
      </c>
      <c r="D240" s="2">
        <v>3026.1849999999999</v>
      </c>
      <c r="E240" s="2">
        <v>6163.82</v>
      </c>
      <c r="F240" s="2">
        <v>24125</v>
      </c>
      <c r="G240" s="1">
        <v>9258.3700000000008</v>
      </c>
      <c r="H240" s="1">
        <v>3775.02</v>
      </c>
      <c r="I240" s="1">
        <v>300</v>
      </c>
      <c r="J240" s="2">
        <v>3026.1849999999999</v>
      </c>
      <c r="K240" s="2">
        <v>6163.82</v>
      </c>
      <c r="L240" s="2">
        <v>24125</v>
      </c>
      <c r="M240" s="1">
        <v>9258.3700000000008</v>
      </c>
      <c r="N240" s="1">
        <v>3775.02</v>
      </c>
      <c r="O240" s="1">
        <v>300</v>
      </c>
      <c r="P240" s="8">
        <v>5.3841699999999999E-2</v>
      </c>
      <c r="Q240" s="8">
        <v>0.93257800000000002</v>
      </c>
      <c r="R240" s="8">
        <v>6.9831000000000004E-2</v>
      </c>
      <c r="S240" s="8">
        <f>Tabelle1[[#This Row],[corr_x]]/1000</f>
        <v>3.0261849999999999</v>
      </c>
      <c r="T240" s="8">
        <f>Tabelle1[[#This Row],[corr_y]]/1000</f>
        <v>6.1638199999999994</v>
      </c>
      <c r="U240" s="8">
        <f>Tabelle1[[#This Row],[corr_z]]/1000</f>
        <v>24.125</v>
      </c>
      <c r="V240" s="8">
        <f>Tabelle1[[#This Row],[corr_soma_x]]/1000</f>
        <v>9.2583700000000011</v>
      </c>
      <c r="W240" s="8">
        <f>Tabelle1[[#This Row],[corr_soma_y]]/1000</f>
        <v>3.77502</v>
      </c>
      <c r="X240" s="8">
        <f>Tabelle1[[#This Row],[corr_soma_z]]/1000</f>
        <v>0.3</v>
      </c>
    </row>
    <row r="241" spans="1:24" x14ac:dyDescent="0.35">
      <c r="A241" s="7" t="s">
        <v>12</v>
      </c>
      <c r="B241" s="7" t="s">
        <v>18</v>
      </c>
      <c r="C241" s="6">
        <v>46</v>
      </c>
      <c r="D241" s="2">
        <v>3413.02</v>
      </c>
      <c r="E241" s="2">
        <v>6397.53</v>
      </c>
      <c r="F241" s="2">
        <v>25200</v>
      </c>
      <c r="G241" s="1">
        <v>9258.3700000000008</v>
      </c>
      <c r="H241" s="1">
        <v>3775.02</v>
      </c>
      <c r="I241" s="1">
        <v>300</v>
      </c>
      <c r="J241" s="2">
        <v>3413.02</v>
      </c>
      <c r="K241" s="2">
        <v>6397.53</v>
      </c>
      <c r="L241" s="2">
        <v>25200</v>
      </c>
      <c r="M241" s="1">
        <v>9258.3700000000008</v>
      </c>
      <c r="N241" s="1">
        <v>3775.02</v>
      </c>
      <c r="O241" s="1">
        <v>300</v>
      </c>
      <c r="P241" s="8">
        <v>4.9072400000000002E-3</v>
      </c>
      <c r="Q241" s="8">
        <v>1.8967000000000001</v>
      </c>
      <c r="R241" s="8">
        <v>0.18975</v>
      </c>
      <c r="S241" s="8">
        <f>Tabelle1[[#This Row],[corr_x]]/1000</f>
        <v>3.4130199999999999</v>
      </c>
      <c r="T241" s="8">
        <f>Tabelle1[[#This Row],[corr_y]]/1000</f>
        <v>6.3975299999999997</v>
      </c>
      <c r="U241" s="8">
        <f>Tabelle1[[#This Row],[corr_z]]/1000</f>
        <v>25.2</v>
      </c>
      <c r="V241" s="8">
        <f>Tabelle1[[#This Row],[corr_soma_x]]/1000</f>
        <v>9.2583700000000011</v>
      </c>
      <c r="W241" s="8">
        <f>Tabelle1[[#This Row],[corr_soma_y]]/1000</f>
        <v>3.77502</v>
      </c>
      <c r="X241" s="8">
        <f>Tabelle1[[#This Row],[corr_soma_z]]/1000</f>
        <v>0.3</v>
      </c>
    </row>
    <row r="242" spans="1:24" x14ac:dyDescent="0.35">
      <c r="A242" s="7" t="s">
        <v>13</v>
      </c>
      <c r="B242" s="7" t="s">
        <v>18</v>
      </c>
      <c r="C242" s="6">
        <v>1</v>
      </c>
      <c r="D242" s="2">
        <v>9864.65</v>
      </c>
      <c r="E242" s="2">
        <v>14063.1</v>
      </c>
      <c r="F242" s="2">
        <v>650</v>
      </c>
      <c r="G242" s="2">
        <v>15753.6</v>
      </c>
      <c r="H242" s="2">
        <v>23931.8</v>
      </c>
      <c r="I242" s="2">
        <v>750</v>
      </c>
      <c r="J242" s="2">
        <v>9864.65</v>
      </c>
      <c r="K242" s="2">
        <v>14063.1</v>
      </c>
      <c r="L242" s="2">
        <v>650</v>
      </c>
      <c r="M242" s="2">
        <v>15753.6</v>
      </c>
      <c r="N242" s="2">
        <v>23931.8</v>
      </c>
      <c r="O242" s="2">
        <v>750</v>
      </c>
      <c r="P242" s="8">
        <v>4.9250000000000002E-2</v>
      </c>
      <c r="Q242" s="8">
        <v>0.67849199999999998</v>
      </c>
      <c r="R242" s="8">
        <v>3.8784300000000001E-2</v>
      </c>
      <c r="S242" s="8">
        <f>Tabelle1[[#This Row],[corr_x]]/1000</f>
        <v>9.8646499999999993</v>
      </c>
      <c r="T242" s="8">
        <f>Tabelle1[[#This Row],[corr_y]]/1000</f>
        <v>14.0631</v>
      </c>
      <c r="U242" s="8">
        <f>Tabelle1[[#This Row],[corr_z]]/1000</f>
        <v>0.65</v>
      </c>
      <c r="V242" s="8">
        <f>Tabelle1[[#This Row],[corr_soma_x]]/1000</f>
        <v>15.7536</v>
      </c>
      <c r="W242" s="8">
        <f>Tabelle1[[#This Row],[corr_soma_y]]/1000</f>
        <v>23.931799999999999</v>
      </c>
      <c r="X242" s="8">
        <f>Tabelle1[[#This Row],[corr_soma_z]]/1000</f>
        <v>0.75</v>
      </c>
    </row>
    <row r="243" spans="1:24" x14ac:dyDescent="0.35">
      <c r="A243" s="7" t="s">
        <v>13</v>
      </c>
      <c r="B243" s="7" t="s">
        <v>19</v>
      </c>
      <c r="C243" s="6">
        <v>1</v>
      </c>
      <c r="D243" s="2">
        <v>8746.58</v>
      </c>
      <c r="E243" s="2">
        <v>13115.6</v>
      </c>
      <c r="F243" s="2">
        <v>2200</v>
      </c>
      <c r="G243" s="2">
        <v>15753.6</v>
      </c>
      <c r="H243" s="2">
        <v>23931.8</v>
      </c>
      <c r="I243" s="2">
        <v>750</v>
      </c>
      <c r="J243" s="2">
        <v>8746.58</v>
      </c>
      <c r="K243" s="2">
        <v>13115.6</v>
      </c>
      <c r="L243" s="2">
        <v>2200</v>
      </c>
      <c r="M243" s="2">
        <v>15753.6</v>
      </c>
      <c r="N243" s="2">
        <v>23931.8</v>
      </c>
      <c r="O243" s="2">
        <v>750</v>
      </c>
      <c r="P243" s="8">
        <v>4.4468199999999999E-2</v>
      </c>
      <c r="Q243" s="8">
        <v>1.2679800000000001</v>
      </c>
      <c r="R243" s="8">
        <v>0.10568900000000001</v>
      </c>
      <c r="S243" s="8">
        <f>Tabelle1[[#This Row],[corr_x]]/1000</f>
        <v>8.7465799999999998</v>
      </c>
      <c r="T243" s="8">
        <f>Tabelle1[[#This Row],[corr_y]]/1000</f>
        <v>13.115600000000001</v>
      </c>
      <c r="U243" s="8">
        <f>Tabelle1[[#This Row],[corr_z]]/1000</f>
        <v>2.2000000000000002</v>
      </c>
      <c r="V243" s="8">
        <f>Tabelle1[[#This Row],[corr_soma_x]]/1000</f>
        <v>15.7536</v>
      </c>
      <c r="W243" s="8">
        <f>Tabelle1[[#This Row],[corr_soma_y]]/1000</f>
        <v>23.931799999999999</v>
      </c>
      <c r="X243" s="8">
        <f>Tabelle1[[#This Row],[corr_soma_z]]/1000</f>
        <v>0.75</v>
      </c>
    </row>
    <row r="244" spans="1:24" x14ac:dyDescent="0.35">
      <c r="A244" s="7" t="s">
        <v>13</v>
      </c>
      <c r="B244" s="7" t="s">
        <v>19</v>
      </c>
      <c r="C244" s="6">
        <v>2</v>
      </c>
      <c r="D244" s="2">
        <v>8601.94</v>
      </c>
      <c r="E244" s="2">
        <v>11969</v>
      </c>
      <c r="F244" s="2">
        <v>2900</v>
      </c>
      <c r="G244" s="2">
        <v>15753.6</v>
      </c>
      <c r="H244" s="2">
        <v>23931.8</v>
      </c>
      <c r="I244" s="2">
        <v>750</v>
      </c>
      <c r="J244" s="2">
        <v>8601.94</v>
      </c>
      <c r="K244" s="2">
        <v>11969</v>
      </c>
      <c r="L244" s="2">
        <v>2900</v>
      </c>
      <c r="M244" s="2">
        <v>15753.6</v>
      </c>
      <c r="N244" s="2">
        <v>23931.8</v>
      </c>
      <c r="O244" s="2">
        <v>750</v>
      </c>
      <c r="P244" s="8">
        <v>6.70964E-2</v>
      </c>
      <c r="Q244" s="8">
        <v>1.8868199999999999</v>
      </c>
      <c r="R244" s="8">
        <v>0.12787200000000001</v>
      </c>
      <c r="S244" s="8">
        <f>Tabelle1[[#This Row],[corr_x]]/1000</f>
        <v>8.6019400000000008</v>
      </c>
      <c r="T244" s="8">
        <f>Tabelle1[[#This Row],[corr_y]]/1000</f>
        <v>11.968999999999999</v>
      </c>
      <c r="U244" s="8">
        <f>Tabelle1[[#This Row],[corr_z]]/1000</f>
        <v>2.9</v>
      </c>
      <c r="V244" s="8">
        <f>Tabelle1[[#This Row],[corr_soma_x]]/1000</f>
        <v>15.7536</v>
      </c>
      <c r="W244" s="8">
        <f>Tabelle1[[#This Row],[corr_soma_y]]/1000</f>
        <v>23.931799999999999</v>
      </c>
      <c r="X244" s="8">
        <f>Tabelle1[[#This Row],[corr_soma_z]]/1000</f>
        <v>0.75</v>
      </c>
    </row>
    <row r="245" spans="1:24" x14ac:dyDescent="0.35">
      <c r="A245" s="7" t="s">
        <v>13</v>
      </c>
      <c r="B245" s="7" t="s">
        <v>18</v>
      </c>
      <c r="C245" s="6">
        <v>2</v>
      </c>
      <c r="D245" s="2">
        <v>8779.5</v>
      </c>
      <c r="E245" s="2">
        <v>10926.5</v>
      </c>
      <c r="F245" s="2">
        <v>3800</v>
      </c>
      <c r="G245" s="2">
        <v>15753.6</v>
      </c>
      <c r="H245" s="2">
        <v>23931.8</v>
      </c>
      <c r="I245" s="2">
        <v>750</v>
      </c>
      <c r="J245" s="2">
        <v>8779.5</v>
      </c>
      <c r="K245" s="2">
        <v>10926.5</v>
      </c>
      <c r="L245" s="2">
        <v>3800</v>
      </c>
      <c r="M245" s="2">
        <v>15753.6</v>
      </c>
      <c r="N245" s="2">
        <v>23931.8</v>
      </c>
      <c r="O245" s="2">
        <v>750</v>
      </c>
      <c r="P245" s="8">
        <v>2.48197E-2</v>
      </c>
      <c r="Q245" s="8">
        <v>1.3043100000000001</v>
      </c>
      <c r="R245" s="8">
        <v>6.0135300000000003E-2</v>
      </c>
      <c r="S245" s="8">
        <f>Tabelle1[[#This Row],[corr_x]]/1000</f>
        <v>8.7795000000000005</v>
      </c>
      <c r="T245" s="8">
        <f>Tabelle1[[#This Row],[corr_y]]/1000</f>
        <v>10.926500000000001</v>
      </c>
      <c r="U245" s="8">
        <f>Tabelle1[[#This Row],[corr_z]]/1000</f>
        <v>3.8</v>
      </c>
      <c r="V245" s="8">
        <f>Tabelle1[[#This Row],[corr_soma_x]]/1000</f>
        <v>15.7536</v>
      </c>
      <c r="W245" s="8">
        <f>Tabelle1[[#This Row],[corr_soma_y]]/1000</f>
        <v>23.931799999999999</v>
      </c>
      <c r="X245" s="8">
        <f>Tabelle1[[#This Row],[corr_soma_z]]/1000</f>
        <v>0.75</v>
      </c>
    </row>
    <row r="246" spans="1:24" x14ac:dyDescent="0.35">
      <c r="A246" s="7" t="s">
        <v>13</v>
      </c>
      <c r="B246" s="7" t="s">
        <v>19</v>
      </c>
      <c r="C246" s="6">
        <v>3</v>
      </c>
      <c r="D246" s="2">
        <v>9166.25</v>
      </c>
      <c r="E246" s="2">
        <v>11048.6</v>
      </c>
      <c r="F246" s="2">
        <v>4400</v>
      </c>
      <c r="G246" s="2">
        <v>15753.6</v>
      </c>
      <c r="H246" s="2">
        <v>23931.8</v>
      </c>
      <c r="I246" s="2">
        <v>750</v>
      </c>
      <c r="J246" s="2">
        <v>9166.25</v>
      </c>
      <c r="K246" s="2">
        <v>11048.6</v>
      </c>
      <c r="L246" s="2">
        <v>4400</v>
      </c>
      <c r="M246" s="2">
        <v>15753.6</v>
      </c>
      <c r="N246" s="2">
        <v>23931.8</v>
      </c>
      <c r="O246" s="2">
        <v>750</v>
      </c>
      <c r="P246" s="8">
        <v>3.4721099999999998E-2</v>
      </c>
      <c r="Q246" s="8">
        <v>2.2978999999999998</v>
      </c>
      <c r="R246" s="8">
        <v>0.172266</v>
      </c>
      <c r="S246" s="8">
        <f>Tabelle1[[#This Row],[corr_x]]/1000</f>
        <v>9.1662499999999998</v>
      </c>
      <c r="T246" s="8">
        <f>Tabelle1[[#This Row],[corr_y]]/1000</f>
        <v>11.0486</v>
      </c>
      <c r="U246" s="8">
        <f>Tabelle1[[#This Row],[corr_z]]/1000</f>
        <v>4.4000000000000004</v>
      </c>
      <c r="V246" s="8">
        <f>Tabelle1[[#This Row],[corr_soma_x]]/1000</f>
        <v>15.7536</v>
      </c>
      <c r="W246" s="8">
        <f>Tabelle1[[#This Row],[corr_soma_y]]/1000</f>
        <v>23.931799999999999</v>
      </c>
      <c r="X246" s="8">
        <f>Tabelle1[[#This Row],[corr_soma_z]]/1000</f>
        <v>0.75</v>
      </c>
    </row>
    <row r="247" spans="1:24" x14ac:dyDescent="0.35">
      <c r="A247" s="7" t="s">
        <v>13</v>
      </c>
      <c r="B247" s="7" t="s">
        <v>18</v>
      </c>
      <c r="C247" s="6">
        <v>3</v>
      </c>
      <c r="D247" s="2">
        <v>9087.23</v>
      </c>
      <c r="E247" s="2">
        <v>9298.3799999999992</v>
      </c>
      <c r="F247" s="2">
        <v>6450</v>
      </c>
      <c r="G247" s="2">
        <v>15753.6</v>
      </c>
      <c r="H247" s="2">
        <v>23931.8</v>
      </c>
      <c r="I247" s="2">
        <v>750</v>
      </c>
      <c r="J247" s="2">
        <v>9087.23</v>
      </c>
      <c r="K247" s="2">
        <v>9298.3799999999992</v>
      </c>
      <c r="L247" s="2">
        <v>6450</v>
      </c>
      <c r="M247" s="2">
        <v>15753.6</v>
      </c>
      <c r="N247" s="2">
        <v>23931.8</v>
      </c>
      <c r="O247" s="2">
        <v>750</v>
      </c>
      <c r="P247" s="8">
        <v>9.4295199999999996E-2</v>
      </c>
      <c r="Q247" s="8">
        <v>2.3029000000000002</v>
      </c>
      <c r="R247" s="8">
        <v>0.214777</v>
      </c>
      <c r="S247" s="8">
        <f>Tabelle1[[#This Row],[corr_x]]/1000</f>
        <v>9.0872299999999999</v>
      </c>
      <c r="T247" s="8">
        <f>Tabelle1[[#This Row],[corr_y]]/1000</f>
        <v>9.2983799999999999</v>
      </c>
      <c r="U247" s="8">
        <f>Tabelle1[[#This Row],[corr_z]]/1000</f>
        <v>6.45</v>
      </c>
      <c r="V247" s="8">
        <f>Tabelle1[[#This Row],[corr_soma_x]]/1000</f>
        <v>15.7536</v>
      </c>
      <c r="W247" s="8">
        <f>Tabelle1[[#This Row],[corr_soma_y]]/1000</f>
        <v>23.931799999999999</v>
      </c>
      <c r="X247" s="8">
        <f>Tabelle1[[#This Row],[corr_soma_z]]/1000</f>
        <v>0.75</v>
      </c>
    </row>
    <row r="248" spans="1:24" x14ac:dyDescent="0.35">
      <c r="A248" s="7" t="s">
        <v>13</v>
      </c>
      <c r="B248" s="7" t="s">
        <v>18</v>
      </c>
      <c r="C248" s="6">
        <v>4</v>
      </c>
      <c r="D248" s="2">
        <v>8572.6450000000004</v>
      </c>
      <c r="E248" s="2">
        <v>8285.67</v>
      </c>
      <c r="F248" s="2">
        <v>8125</v>
      </c>
      <c r="G248" s="2">
        <v>15753.6</v>
      </c>
      <c r="H248" s="2">
        <v>23931.8</v>
      </c>
      <c r="I248" s="2">
        <v>750</v>
      </c>
      <c r="J248" s="2">
        <v>8572.6450000000004</v>
      </c>
      <c r="K248" s="2">
        <v>8285.67</v>
      </c>
      <c r="L248" s="2">
        <v>8125</v>
      </c>
      <c r="M248" s="2">
        <v>15753.6</v>
      </c>
      <c r="N248" s="2">
        <v>23931.8</v>
      </c>
      <c r="O248" s="2">
        <v>750</v>
      </c>
      <c r="P248" s="8">
        <v>7.7948299999999998E-2</v>
      </c>
      <c r="Q248" s="8">
        <v>2.0375399999999999</v>
      </c>
      <c r="R248" s="8">
        <v>0.12858</v>
      </c>
      <c r="S248" s="8">
        <f>Tabelle1[[#This Row],[corr_x]]/1000</f>
        <v>8.5726449999999996</v>
      </c>
      <c r="T248" s="8">
        <f>Tabelle1[[#This Row],[corr_y]]/1000</f>
        <v>8.2856699999999996</v>
      </c>
      <c r="U248" s="8">
        <f>Tabelle1[[#This Row],[corr_z]]/1000</f>
        <v>8.125</v>
      </c>
      <c r="V248" s="8">
        <f>Tabelle1[[#This Row],[corr_soma_x]]/1000</f>
        <v>15.7536</v>
      </c>
      <c r="W248" s="8">
        <f>Tabelle1[[#This Row],[corr_soma_y]]/1000</f>
        <v>23.931799999999999</v>
      </c>
      <c r="X248" s="8">
        <f>Tabelle1[[#This Row],[corr_soma_z]]/1000</f>
        <v>0.75</v>
      </c>
    </row>
    <row r="249" spans="1:24" x14ac:dyDescent="0.35">
      <c r="A249" s="7" t="s">
        <v>13</v>
      </c>
      <c r="B249" s="7" t="s">
        <v>18</v>
      </c>
      <c r="C249" s="6">
        <v>5</v>
      </c>
      <c r="D249" s="2">
        <v>9020.75</v>
      </c>
      <c r="E249" s="2">
        <v>8313.8900000000012</v>
      </c>
      <c r="F249" s="2">
        <v>9325</v>
      </c>
      <c r="G249" s="2">
        <v>15753.6</v>
      </c>
      <c r="H249" s="2">
        <v>23931.8</v>
      </c>
      <c r="I249" s="2">
        <v>750</v>
      </c>
      <c r="J249" s="2">
        <v>9020.75</v>
      </c>
      <c r="K249" s="2">
        <v>8313.8900000000012</v>
      </c>
      <c r="L249" s="2">
        <v>9325</v>
      </c>
      <c r="M249" s="2">
        <v>15753.6</v>
      </c>
      <c r="N249" s="2">
        <v>23931.8</v>
      </c>
      <c r="O249" s="2">
        <v>750</v>
      </c>
      <c r="P249" s="8">
        <v>5.28234E-2</v>
      </c>
      <c r="Q249" s="8">
        <v>3.2971699999999999</v>
      </c>
      <c r="R249" s="8">
        <v>0.241866</v>
      </c>
      <c r="S249" s="8">
        <f>Tabelle1[[#This Row],[corr_x]]/1000</f>
        <v>9.0207499999999996</v>
      </c>
      <c r="T249" s="8">
        <f>Tabelle1[[#This Row],[corr_y]]/1000</f>
        <v>8.3138900000000007</v>
      </c>
      <c r="U249" s="8">
        <f>Tabelle1[[#This Row],[corr_z]]/1000</f>
        <v>9.3249999999999993</v>
      </c>
      <c r="V249" s="8">
        <f>Tabelle1[[#This Row],[corr_soma_x]]/1000</f>
        <v>15.7536</v>
      </c>
      <c r="W249" s="8">
        <f>Tabelle1[[#This Row],[corr_soma_y]]/1000</f>
        <v>23.931799999999999</v>
      </c>
      <c r="X249" s="8">
        <f>Tabelle1[[#This Row],[corr_soma_z]]/1000</f>
        <v>0.75</v>
      </c>
    </row>
    <row r="250" spans="1:24" x14ac:dyDescent="0.35">
      <c r="A250" s="7" t="s">
        <v>13</v>
      </c>
      <c r="B250" s="7" t="s">
        <v>18</v>
      </c>
      <c r="C250" s="6">
        <v>6</v>
      </c>
      <c r="D250" s="2">
        <v>8746.16</v>
      </c>
      <c r="E250" s="2">
        <v>8136.65</v>
      </c>
      <c r="F250" s="2">
        <v>9900</v>
      </c>
      <c r="G250" s="2">
        <v>15753.6</v>
      </c>
      <c r="H250" s="2">
        <v>23931.8</v>
      </c>
      <c r="I250" s="2">
        <v>750</v>
      </c>
      <c r="J250" s="2">
        <v>8746.16</v>
      </c>
      <c r="K250" s="2">
        <v>8136.65</v>
      </c>
      <c r="L250" s="2">
        <v>9900</v>
      </c>
      <c r="M250" s="2">
        <v>15753.6</v>
      </c>
      <c r="N250" s="2">
        <v>23931.8</v>
      </c>
      <c r="O250" s="2">
        <v>750</v>
      </c>
      <c r="P250" s="8">
        <v>4.8166300000000002E-2</v>
      </c>
      <c r="Q250" s="8">
        <v>0.86689799999999995</v>
      </c>
      <c r="R250" s="8">
        <v>4.8385400000000002E-2</v>
      </c>
      <c r="S250" s="8">
        <f>Tabelle1[[#This Row],[corr_x]]/1000</f>
        <v>8.7461599999999997</v>
      </c>
      <c r="T250" s="8">
        <f>Tabelle1[[#This Row],[corr_y]]/1000</f>
        <v>8.1366499999999995</v>
      </c>
      <c r="U250" s="8">
        <f>Tabelle1[[#This Row],[corr_z]]/1000</f>
        <v>9.9</v>
      </c>
      <c r="V250" s="8">
        <f>Tabelle1[[#This Row],[corr_soma_x]]/1000</f>
        <v>15.7536</v>
      </c>
      <c r="W250" s="8">
        <f>Tabelle1[[#This Row],[corr_soma_y]]/1000</f>
        <v>23.931799999999999</v>
      </c>
      <c r="X250" s="8">
        <f>Tabelle1[[#This Row],[corr_soma_z]]/1000</f>
        <v>0.75</v>
      </c>
    </row>
    <row r="251" spans="1:24" x14ac:dyDescent="0.35">
      <c r="A251" s="7" t="s">
        <v>13</v>
      </c>
      <c r="B251" s="7" t="s">
        <v>18</v>
      </c>
      <c r="C251" s="6">
        <v>7</v>
      </c>
      <c r="D251" s="2">
        <v>8253.36</v>
      </c>
      <c r="E251" s="2">
        <v>7379.63</v>
      </c>
      <c r="F251" s="2">
        <v>12250</v>
      </c>
      <c r="G251" s="2">
        <v>15753.6</v>
      </c>
      <c r="H251" s="2">
        <v>23931.8</v>
      </c>
      <c r="I251" s="2">
        <v>750</v>
      </c>
      <c r="J251" s="2">
        <v>8253.36</v>
      </c>
      <c r="K251" s="2">
        <v>7379.63</v>
      </c>
      <c r="L251" s="2">
        <v>12250</v>
      </c>
      <c r="M251" s="2">
        <v>15753.6</v>
      </c>
      <c r="N251" s="2">
        <v>23931.8</v>
      </c>
      <c r="O251" s="2">
        <v>750</v>
      </c>
      <c r="P251" s="8">
        <v>7.5032299999999996E-2</v>
      </c>
      <c r="Q251" s="8">
        <v>1.2942800000000001</v>
      </c>
      <c r="R251" s="8">
        <v>9.0052400000000005E-2</v>
      </c>
      <c r="S251" s="8">
        <f>Tabelle1[[#This Row],[corr_x]]/1000</f>
        <v>8.2533600000000007</v>
      </c>
      <c r="T251" s="8">
        <f>Tabelle1[[#This Row],[corr_y]]/1000</f>
        <v>7.3796299999999997</v>
      </c>
      <c r="U251" s="8">
        <f>Tabelle1[[#This Row],[corr_z]]/1000</f>
        <v>12.25</v>
      </c>
      <c r="V251" s="8">
        <f>Tabelle1[[#This Row],[corr_soma_x]]/1000</f>
        <v>15.7536</v>
      </c>
      <c r="W251" s="8">
        <f>Tabelle1[[#This Row],[corr_soma_y]]/1000</f>
        <v>23.931799999999999</v>
      </c>
      <c r="X251" s="8">
        <f>Tabelle1[[#This Row],[corr_soma_z]]/1000</f>
        <v>0.75</v>
      </c>
    </row>
    <row r="252" spans="1:24" x14ac:dyDescent="0.35">
      <c r="A252" s="7" t="s">
        <v>13</v>
      </c>
      <c r="B252" s="7" t="s">
        <v>18</v>
      </c>
      <c r="C252" s="6">
        <v>8</v>
      </c>
      <c r="D252" s="2">
        <v>4467.6799999999994</v>
      </c>
      <c r="E252" s="2">
        <v>6059.5800000000008</v>
      </c>
      <c r="F252" s="2">
        <v>12650</v>
      </c>
      <c r="G252" s="2">
        <v>15753.6</v>
      </c>
      <c r="H252" s="2">
        <v>23931.8</v>
      </c>
      <c r="I252" s="2">
        <v>750</v>
      </c>
      <c r="J252" s="2">
        <v>4467.6799999999994</v>
      </c>
      <c r="K252" s="2">
        <v>6059.5800000000008</v>
      </c>
      <c r="L252" s="2">
        <v>12650</v>
      </c>
      <c r="M252" s="2">
        <v>15753.6</v>
      </c>
      <c r="N252" s="2">
        <v>23931.8</v>
      </c>
      <c r="O252" s="2">
        <v>750</v>
      </c>
      <c r="P252" s="8">
        <v>6.8346900000000002E-2</v>
      </c>
      <c r="Q252" s="8">
        <v>0.99038800000000005</v>
      </c>
      <c r="R252" s="8">
        <v>9.1812099999999994E-2</v>
      </c>
      <c r="S252" s="8">
        <f>Tabelle1[[#This Row],[corr_x]]/1000</f>
        <v>4.4676799999999997</v>
      </c>
      <c r="T252" s="8">
        <f>Tabelle1[[#This Row],[corr_y]]/1000</f>
        <v>6.0595800000000004</v>
      </c>
      <c r="U252" s="8">
        <f>Tabelle1[[#This Row],[corr_z]]/1000</f>
        <v>12.65</v>
      </c>
      <c r="V252" s="8">
        <f>Tabelle1[[#This Row],[corr_soma_x]]/1000</f>
        <v>15.7536</v>
      </c>
      <c r="W252" s="8">
        <f>Tabelle1[[#This Row],[corr_soma_y]]/1000</f>
        <v>23.931799999999999</v>
      </c>
      <c r="X252" s="8">
        <f>Tabelle1[[#This Row],[corr_soma_z]]/1000</f>
        <v>0.75</v>
      </c>
    </row>
    <row r="253" spans="1:24" x14ac:dyDescent="0.35">
      <c r="A253" s="7" t="s">
        <v>13</v>
      </c>
      <c r="B253" s="7" t="s">
        <v>18</v>
      </c>
      <c r="C253" s="6">
        <v>9</v>
      </c>
      <c r="D253" s="2">
        <v>7246.5349999999999</v>
      </c>
      <c r="E253" s="2">
        <v>6067.9350000000004</v>
      </c>
      <c r="F253" s="2">
        <v>13675</v>
      </c>
      <c r="G253" s="2">
        <v>15753.6</v>
      </c>
      <c r="H253" s="2">
        <v>23931.8</v>
      </c>
      <c r="I253" s="2">
        <v>750</v>
      </c>
      <c r="J253" s="2">
        <v>7246.5349999999999</v>
      </c>
      <c r="K253" s="2">
        <v>6067.9350000000004</v>
      </c>
      <c r="L253" s="2">
        <v>13675</v>
      </c>
      <c r="M253" s="2">
        <v>15753.6</v>
      </c>
      <c r="N253" s="2">
        <v>23931.8</v>
      </c>
      <c r="O253" s="2">
        <v>750</v>
      </c>
      <c r="P253" s="8">
        <v>6.9417099999999995E-2</v>
      </c>
      <c r="Q253" s="8">
        <v>1.69106</v>
      </c>
      <c r="R253" s="8">
        <v>0.12447800000000001</v>
      </c>
      <c r="S253" s="8">
        <f>Tabelle1[[#This Row],[corr_x]]/1000</f>
        <v>7.2465349999999997</v>
      </c>
      <c r="T253" s="8">
        <f>Tabelle1[[#This Row],[corr_y]]/1000</f>
        <v>6.0679350000000003</v>
      </c>
      <c r="U253" s="8">
        <f>Tabelle1[[#This Row],[corr_z]]/1000</f>
        <v>13.675000000000001</v>
      </c>
      <c r="V253" s="8">
        <f>Tabelle1[[#This Row],[corr_soma_x]]/1000</f>
        <v>15.7536</v>
      </c>
      <c r="W253" s="8">
        <f>Tabelle1[[#This Row],[corr_soma_y]]/1000</f>
        <v>23.931799999999999</v>
      </c>
      <c r="X253" s="8">
        <f>Tabelle1[[#This Row],[corr_soma_z]]/1000</f>
        <v>0.75</v>
      </c>
    </row>
    <row r="254" spans="1:24" x14ac:dyDescent="0.35">
      <c r="A254" s="7" t="s">
        <v>13</v>
      </c>
      <c r="B254" s="7" t="s">
        <v>19</v>
      </c>
      <c r="C254" s="6">
        <v>4</v>
      </c>
      <c r="D254" s="2">
        <v>6627.45</v>
      </c>
      <c r="E254" s="2">
        <v>5661.11</v>
      </c>
      <c r="F254" s="2">
        <v>14250</v>
      </c>
      <c r="G254" s="2">
        <v>15753.6</v>
      </c>
      <c r="H254" s="2">
        <v>23931.8</v>
      </c>
      <c r="I254" s="2">
        <v>750</v>
      </c>
      <c r="J254" s="2">
        <v>6627.45</v>
      </c>
      <c r="K254" s="2">
        <v>5661.11</v>
      </c>
      <c r="L254" s="2">
        <v>14250</v>
      </c>
      <c r="M254" s="2">
        <v>15753.6</v>
      </c>
      <c r="N254" s="2">
        <v>23931.8</v>
      </c>
      <c r="O254" s="2">
        <v>750</v>
      </c>
      <c r="P254" s="8">
        <v>3.8080000000000003E-2</v>
      </c>
      <c r="Q254" s="8">
        <v>3.35995</v>
      </c>
      <c r="R254" s="8">
        <v>0.29353800000000002</v>
      </c>
      <c r="S254" s="8">
        <f>Tabelle1[[#This Row],[corr_x]]/1000</f>
        <v>6.6274499999999996</v>
      </c>
      <c r="T254" s="8">
        <f>Tabelle1[[#This Row],[corr_y]]/1000</f>
        <v>5.6611099999999999</v>
      </c>
      <c r="U254" s="8">
        <f>Tabelle1[[#This Row],[corr_z]]/1000</f>
        <v>14.25</v>
      </c>
      <c r="V254" s="8">
        <f>Tabelle1[[#This Row],[corr_soma_x]]/1000</f>
        <v>15.7536</v>
      </c>
      <c r="W254" s="8">
        <f>Tabelle1[[#This Row],[corr_soma_y]]/1000</f>
        <v>23.931799999999999</v>
      </c>
      <c r="X254" s="8">
        <f>Tabelle1[[#This Row],[corr_soma_z]]/1000</f>
        <v>0.75</v>
      </c>
    </row>
    <row r="255" spans="1:24" x14ac:dyDescent="0.35">
      <c r="A255" s="7" t="s">
        <v>13</v>
      </c>
      <c r="B255" s="7" t="s">
        <v>19</v>
      </c>
      <c r="C255" s="6">
        <v>5</v>
      </c>
      <c r="D255" s="2">
        <v>6382.22</v>
      </c>
      <c r="E255" s="2">
        <v>5601.51</v>
      </c>
      <c r="F255" s="2">
        <v>15500</v>
      </c>
      <c r="G255" s="2">
        <v>15753.6</v>
      </c>
      <c r="H255" s="2">
        <v>23931.8</v>
      </c>
      <c r="I255" s="2">
        <v>750</v>
      </c>
      <c r="J255" s="2">
        <v>6382.22</v>
      </c>
      <c r="K255" s="2">
        <v>5601.51</v>
      </c>
      <c r="L255" s="2">
        <v>15500</v>
      </c>
      <c r="M255" s="2">
        <v>15753.6</v>
      </c>
      <c r="N255" s="2">
        <v>23931.8</v>
      </c>
      <c r="O255" s="2">
        <v>750</v>
      </c>
      <c r="P255" s="8">
        <v>3.23974E-2</v>
      </c>
      <c r="Q255" s="8">
        <v>1.6060300000000001</v>
      </c>
      <c r="R255" s="8">
        <v>8.2314999999999999E-2</v>
      </c>
      <c r="S255" s="8">
        <f>Tabelle1[[#This Row],[corr_x]]/1000</f>
        <v>6.3822200000000002</v>
      </c>
      <c r="T255" s="8">
        <f>Tabelle1[[#This Row],[corr_y]]/1000</f>
        <v>5.6015100000000002</v>
      </c>
      <c r="U255" s="8">
        <f>Tabelle1[[#This Row],[corr_z]]/1000</f>
        <v>15.5</v>
      </c>
      <c r="V255" s="8">
        <f>Tabelle1[[#This Row],[corr_soma_x]]/1000</f>
        <v>15.7536</v>
      </c>
      <c r="W255" s="8">
        <f>Tabelle1[[#This Row],[corr_soma_y]]/1000</f>
        <v>23.931799999999999</v>
      </c>
      <c r="X255" s="8">
        <f>Tabelle1[[#This Row],[corr_soma_z]]/1000</f>
        <v>0.75</v>
      </c>
    </row>
    <row r="256" spans="1:24" x14ac:dyDescent="0.35">
      <c r="A256" s="7" t="s">
        <v>13</v>
      </c>
      <c r="B256" s="7" t="s">
        <v>18</v>
      </c>
      <c r="C256" s="6">
        <v>10</v>
      </c>
      <c r="D256" s="2">
        <v>6368.9350000000004</v>
      </c>
      <c r="E256" s="2">
        <v>5320.48</v>
      </c>
      <c r="F256" s="2">
        <v>15825</v>
      </c>
      <c r="G256" s="2">
        <v>15753.6</v>
      </c>
      <c r="H256" s="2">
        <v>23931.8</v>
      </c>
      <c r="I256" s="2">
        <v>750</v>
      </c>
      <c r="J256" s="2">
        <v>6368.9350000000004</v>
      </c>
      <c r="K256" s="2">
        <v>5320.48</v>
      </c>
      <c r="L256" s="2">
        <v>15825</v>
      </c>
      <c r="M256" s="2">
        <v>15753.6</v>
      </c>
      <c r="N256" s="2">
        <v>23931.8</v>
      </c>
      <c r="O256" s="2">
        <v>750</v>
      </c>
      <c r="P256" s="8">
        <v>1.12196E-2</v>
      </c>
      <c r="Q256" s="8">
        <v>0.62586900000000001</v>
      </c>
      <c r="R256" s="8">
        <v>3.1612500000000002E-2</v>
      </c>
      <c r="S256" s="8">
        <f>Tabelle1[[#This Row],[corr_x]]/1000</f>
        <v>6.3689350000000005</v>
      </c>
      <c r="T256" s="8">
        <f>Tabelle1[[#This Row],[corr_y]]/1000</f>
        <v>5.3204799999999999</v>
      </c>
      <c r="U256" s="8">
        <f>Tabelle1[[#This Row],[corr_z]]/1000</f>
        <v>15.824999999999999</v>
      </c>
      <c r="V256" s="8">
        <f>Tabelle1[[#This Row],[corr_soma_x]]/1000</f>
        <v>15.7536</v>
      </c>
      <c r="W256" s="8">
        <f>Tabelle1[[#This Row],[corr_soma_y]]/1000</f>
        <v>23.931799999999999</v>
      </c>
      <c r="X256" s="8">
        <f>Tabelle1[[#This Row],[corr_soma_z]]/1000</f>
        <v>0.75</v>
      </c>
    </row>
    <row r="257" spans="1:24" x14ac:dyDescent="0.35">
      <c r="A257" s="7" t="s">
        <v>13</v>
      </c>
      <c r="B257" s="7" t="s">
        <v>19</v>
      </c>
      <c r="C257" s="6">
        <v>6</v>
      </c>
      <c r="D257" s="2">
        <v>6572.8600000000006</v>
      </c>
      <c r="E257" s="2">
        <v>4929.7000000000007</v>
      </c>
      <c r="F257" s="2">
        <v>16100.000000000002</v>
      </c>
      <c r="G257" s="2">
        <v>15753.6</v>
      </c>
      <c r="H257" s="2">
        <v>23931.8</v>
      </c>
      <c r="I257" s="2">
        <v>750</v>
      </c>
      <c r="J257" s="2">
        <v>6572.8600000000006</v>
      </c>
      <c r="K257" s="2">
        <v>4929.7000000000007</v>
      </c>
      <c r="L257" s="2">
        <v>16100.000000000002</v>
      </c>
      <c r="M257" s="2">
        <v>15753.6</v>
      </c>
      <c r="N257" s="2">
        <v>23931.8</v>
      </c>
      <c r="O257" s="2">
        <v>750</v>
      </c>
      <c r="P257" s="8">
        <v>5.0589799999999997E-2</v>
      </c>
      <c r="Q257" s="8">
        <v>1.22584</v>
      </c>
      <c r="R257" s="8">
        <v>4.6440200000000001E-2</v>
      </c>
      <c r="S257" s="8">
        <f>Tabelle1[[#This Row],[corr_x]]/1000</f>
        <v>6.5728600000000004</v>
      </c>
      <c r="T257" s="8">
        <f>Tabelle1[[#This Row],[corr_y]]/1000</f>
        <v>4.9297000000000004</v>
      </c>
      <c r="U257" s="8">
        <f>Tabelle1[[#This Row],[corr_z]]/1000</f>
        <v>16.100000000000001</v>
      </c>
      <c r="V257" s="8">
        <f>Tabelle1[[#This Row],[corr_soma_x]]/1000</f>
        <v>15.7536</v>
      </c>
      <c r="W257" s="8">
        <f>Tabelle1[[#This Row],[corr_soma_y]]/1000</f>
        <v>23.931799999999999</v>
      </c>
      <c r="X257" s="8">
        <f>Tabelle1[[#This Row],[corr_soma_z]]/1000</f>
        <v>0.75</v>
      </c>
    </row>
    <row r="258" spans="1:24" x14ac:dyDescent="0.35">
      <c r="A258" s="7" t="s">
        <v>13</v>
      </c>
      <c r="B258" s="7" t="s">
        <v>18</v>
      </c>
      <c r="C258" s="6">
        <v>11</v>
      </c>
      <c r="D258" s="2">
        <v>6677.0700000000006</v>
      </c>
      <c r="E258" s="2">
        <v>5384.9</v>
      </c>
      <c r="F258" s="2">
        <v>16325.000000000004</v>
      </c>
      <c r="G258" s="2">
        <v>15753.6</v>
      </c>
      <c r="H258" s="2">
        <v>23931.8</v>
      </c>
      <c r="I258" s="2">
        <v>750</v>
      </c>
      <c r="J258" s="2">
        <v>6677.0700000000006</v>
      </c>
      <c r="K258" s="2">
        <v>5384.9</v>
      </c>
      <c r="L258" s="2">
        <v>16325.000000000004</v>
      </c>
      <c r="M258" s="2">
        <v>15753.6</v>
      </c>
      <c r="N258" s="2">
        <v>23931.8</v>
      </c>
      <c r="O258" s="2">
        <v>750</v>
      </c>
      <c r="P258" s="8">
        <v>5.6310199999999998E-2</v>
      </c>
      <c r="Q258" s="8">
        <v>1.05522</v>
      </c>
      <c r="R258" s="8">
        <v>8.1588900000000006E-2</v>
      </c>
      <c r="S258" s="8">
        <f>Tabelle1[[#This Row],[corr_x]]/1000</f>
        <v>6.6770700000000005</v>
      </c>
      <c r="T258" s="8">
        <f>Tabelle1[[#This Row],[corr_y]]/1000</f>
        <v>5.3849</v>
      </c>
      <c r="U258" s="8">
        <f>Tabelle1[[#This Row],[corr_z]]/1000</f>
        <v>16.325000000000003</v>
      </c>
      <c r="V258" s="8">
        <f>Tabelle1[[#This Row],[corr_soma_x]]/1000</f>
        <v>15.7536</v>
      </c>
      <c r="W258" s="8">
        <f>Tabelle1[[#This Row],[corr_soma_y]]/1000</f>
        <v>23.931799999999999</v>
      </c>
      <c r="X258" s="8">
        <f>Tabelle1[[#This Row],[corr_soma_z]]/1000</f>
        <v>0.75</v>
      </c>
    </row>
    <row r="259" spans="1:24" x14ac:dyDescent="0.35">
      <c r="A259" s="7" t="s">
        <v>13</v>
      </c>
      <c r="B259" s="7" t="s">
        <v>18</v>
      </c>
      <c r="C259" s="6">
        <v>12</v>
      </c>
      <c r="D259" s="2">
        <v>6796.62</v>
      </c>
      <c r="E259" s="2">
        <v>4922.8749999999991</v>
      </c>
      <c r="F259" s="2">
        <v>16875</v>
      </c>
      <c r="G259" s="2">
        <v>15753.6</v>
      </c>
      <c r="H259" s="2">
        <v>23931.8</v>
      </c>
      <c r="I259" s="2">
        <v>750</v>
      </c>
      <c r="J259" s="2">
        <v>6796.62</v>
      </c>
      <c r="K259" s="2">
        <v>4922.8749999999991</v>
      </c>
      <c r="L259" s="2">
        <v>16875</v>
      </c>
      <c r="M259" s="2">
        <v>15753.6</v>
      </c>
      <c r="N259" s="2">
        <v>23931.8</v>
      </c>
      <c r="O259" s="2">
        <v>750</v>
      </c>
      <c r="P259" s="8">
        <v>5.5927299999999999E-2</v>
      </c>
      <c r="Q259" s="8">
        <v>0.784358</v>
      </c>
      <c r="R259" s="8">
        <v>6.5603800000000004E-2</v>
      </c>
      <c r="S259" s="8">
        <f>Tabelle1[[#This Row],[corr_x]]/1000</f>
        <v>6.7966199999999999</v>
      </c>
      <c r="T259" s="8">
        <f>Tabelle1[[#This Row],[corr_y]]/1000</f>
        <v>4.9228749999999994</v>
      </c>
      <c r="U259" s="8">
        <f>Tabelle1[[#This Row],[corr_z]]/1000</f>
        <v>16.875</v>
      </c>
      <c r="V259" s="8">
        <f>Tabelle1[[#This Row],[corr_soma_x]]/1000</f>
        <v>15.7536</v>
      </c>
      <c r="W259" s="8">
        <f>Tabelle1[[#This Row],[corr_soma_y]]/1000</f>
        <v>23.931799999999999</v>
      </c>
      <c r="X259" s="8">
        <f>Tabelle1[[#This Row],[corr_soma_z]]/1000</f>
        <v>0.75</v>
      </c>
    </row>
    <row r="260" spans="1:24" x14ac:dyDescent="0.35">
      <c r="A260" s="7" t="s">
        <v>13</v>
      </c>
      <c r="B260" s="7" t="s">
        <v>18</v>
      </c>
      <c r="C260" s="6">
        <v>13</v>
      </c>
      <c r="D260" s="2">
        <v>7074.27</v>
      </c>
      <c r="E260" s="2">
        <v>4556.6499999999996</v>
      </c>
      <c r="F260" s="2">
        <v>18225</v>
      </c>
      <c r="G260" s="2">
        <v>15753.6</v>
      </c>
      <c r="H260" s="2">
        <v>23931.8</v>
      </c>
      <c r="I260" s="2">
        <v>750</v>
      </c>
      <c r="J260" s="2">
        <v>7074.27</v>
      </c>
      <c r="K260" s="2">
        <v>4556.6499999999996</v>
      </c>
      <c r="L260" s="2">
        <v>18225</v>
      </c>
      <c r="M260" s="2">
        <v>15753.6</v>
      </c>
      <c r="N260" s="2">
        <v>23931.8</v>
      </c>
      <c r="O260" s="2">
        <v>750</v>
      </c>
      <c r="P260" s="8">
        <v>5.7729299999999997E-2</v>
      </c>
      <c r="Q260" s="8">
        <v>1.81993</v>
      </c>
      <c r="R260" s="8">
        <v>6.8348800000000001E-2</v>
      </c>
      <c r="S260" s="8">
        <f>Tabelle1[[#This Row],[corr_x]]/1000</f>
        <v>7.0742700000000003</v>
      </c>
      <c r="T260" s="8">
        <f>Tabelle1[[#This Row],[corr_y]]/1000</f>
        <v>4.5566499999999994</v>
      </c>
      <c r="U260" s="8">
        <f>Tabelle1[[#This Row],[corr_z]]/1000</f>
        <v>18.225000000000001</v>
      </c>
      <c r="V260" s="8">
        <f>Tabelle1[[#This Row],[corr_soma_x]]/1000</f>
        <v>15.7536</v>
      </c>
      <c r="W260" s="8">
        <f>Tabelle1[[#This Row],[corr_soma_y]]/1000</f>
        <v>23.931799999999999</v>
      </c>
      <c r="X260" s="8">
        <f>Tabelle1[[#This Row],[corr_soma_z]]/1000</f>
        <v>0.75</v>
      </c>
    </row>
    <row r="261" spans="1:24" x14ac:dyDescent="0.35">
      <c r="A261" s="7" t="s">
        <v>13</v>
      </c>
      <c r="B261" s="7" t="s">
        <v>18</v>
      </c>
      <c r="C261" s="6">
        <v>14</v>
      </c>
      <c r="D261" s="2">
        <v>7235.15</v>
      </c>
      <c r="E261" s="2">
        <v>4191.25</v>
      </c>
      <c r="F261" s="2">
        <v>18400</v>
      </c>
      <c r="G261" s="2">
        <v>15753.6</v>
      </c>
      <c r="H261" s="2">
        <v>23931.8</v>
      </c>
      <c r="I261" s="2">
        <v>750</v>
      </c>
      <c r="J261" s="2">
        <v>7235.15</v>
      </c>
      <c r="K261" s="2">
        <v>4191.25</v>
      </c>
      <c r="L261" s="2">
        <v>18400</v>
      </c>
      <c r="M261" s="2">
        <v>15753.6</v>
      </c>
      <c r="N261" s="2">
        <v>23931.8</v>
      </c>
      <c r="O261" s="2">
        <v>750</v>
      </c>
      <c r="P261" s="8">
        <v>9.7691799999999995E-2</v>
      </c>
      <c r="Q261" s="8">
        <v>0.81786499999999995</v>
      </c>
      <c r="R261" s="8">
        <v>3.2882500000000002E-2</v>
      </c>
      <c r="S261" s="8">
        <f>Tabelle1[[#This Row],[corr_x]]/1000</f>
        <v>7.23515</v>
      </c>
      <c r="T261" s="8">
        <f>Tabelle1[[#This Row],[corr_y]]/1000</f>
        <v>4.1912500000000001</v>
      </c>
      <c r="U261" s="8">
        <f>Tabelle1[[#This Row],[corr_z]]/1000</f>
        <v>18.399999999999999</v>
      </c>
      <c r="V261" s="8">
        <f>Tabelle1[[#This Row],[corr_soma_x]]/1000</f>
        <v>15.7536</v>
      </c>
      <c r="W261" s="8">
        <f>Tabelle1[[#This Row],[corr_soma_y]]/1000</f>
        <v>23.931799999999999</v>
      </c>
      <c r="X261" s="8">
        <f>Tabelle1[[#This Row],[corr_soma_z]]/1000</f>
        <v>0.75</v>
      </c>
    </row>
    <row r="262" spans="1:24" x14ac:dyDescent="0.35">
      <c r="A262" s="7" t="s">
        <v>13</v>
      </c>
      <c r="B262" s="7" t="s">
        <v>18</v>
      </c>
      <c r="C262" s="6">
        <v>15</v>
      </c>
      <c r="D262" s="2">
        <v>7280.6149999999998</v>
      </c>
      <c r="E262" s="2">
        <v>4071.2049999999999</v>
      </c>
      <c r="F262" s="2">
        <v>18924.999999999996</v>
      </c>
      <c r="G262" s="2">
        <v>15753.6</v>
      </c>
      <c r="H262" s="2">
        <v>23931.8</v>
      </c>
      <c r="I262" s="2">
        <v>750</v>
      </c>
      <c r="J262" s="2">
        <v>7280.6149999999998</v>
      </c>
      <c r="K262" s="2">
        <v>4071.2049999999999</v>
      </c>
      <c r="L262" s="2">
        <v>18924.999999999996</v>
      </c>
      <c r="M262" s="2">
        <v>15753.6</v>
      </c>
      <c r="N262" s="2">
        <v>23931.8</v>
      </c>
      <c r="O262" s="2">
        <v>750</v>
      </c>
      <c r="P262" s="8">
        <v>5.33683E-2</v>
      </c>
      <c r="Q262" s="8">
        <v>1.1797599999999999</v>
      </c>
      <c r="R262" s="8">
        <v>8.6950100000000002E-2</v>
      </c>
      <c r="S262" s="8">
        <f>Tabelle1[[#This Row],[corr_x]]/1000</f>
        <v>7.2806150000000001</v>
      </c>
      <c r="T262" s="8">
        <f>Tabelle1[[#This Row],[corr_y]]/1000</f>
        <v>4.071205</v>
      </c>
      <c r="U262" s="8">
        <f>Tabelle1[[#This Row],[corr_z]]/1000</f>
        <v>18.924999999999997</v>
      </c>
      <c r="V262" s="8">
        <f>Tabelle1[[#This Row],[corr_soma_x]]/1000</f>
        <v>15.7536</v>
      </c>
      <c r="W262" s="8">
        <f>Tabelle1[[#This Row],[corr_soma_y]]/1000</f>
        <v>23.931799999999999</v>
      </c>
      <c r="X262" s="8">
        <f>Tabelle1[[#This Row],[corr_soma_z]]/1000</f>
        <v>0.75</v>
      </c>
    </row>
    <row r="263" spans="1:24" x14ac:dyDescent="0.35">
      <c r="A263" s="7" t="s">
        <v>13</v>
      </c>
      <c r="B263" s="7" t="s">
        <v>18</v>
      </c>
      <c r="C263" s="6">
        <v>16</v>
      </c>
      <c r="D263" s="2">
        <v>7394.8549999999996</v>
      </c>
      <c r="E263" s="2">
        <v>3888.085</v>
      </c>
      <c r="F263" s="2">
        <v>20275</v>
      </c>
      <c r="G263" s="2">
        <v>15753.6</v>
      </c>
      <c r="H263" s="2">
        <v>23931.8</v>
      </c>
      <c r="I263" s="2">
        <v>750</v>
      </c>
      <c r="J263" s="2">
        <v>7394.8549999999996</v>
      </c>
      <c r="K263" s="2">
        <v>3888.085</v>
      </c>
      <c r="L263" s="2">
        <v>20275</v>
      </c>
      <c r="M263" s="2">
        <v>15753.6</v>
      </c>
      <c r="N263" s="2">
        <v>23931.8</v>
      </c>
      <c r="O263" s="2">
        <v>750</v>
      </c>
      <c r="P263" s="8">
        <v>2.78173E-2</v>
      </c>
      <c r="Q263" s="8">
        <v>2.3999799999999998</v>
      </c>
      <c r="R263" s="8">
        <v>9.2134900000000006E-2</v>
      </c>
      <c r="S263" s="8">
        <f>Tabelle1[[#This Row],[corr_x]]/1000</f>
        <v>7.3948549999999997</v>
      </c>
      <c r="T263" s="8">
        <f>Tabelle1[[#This Row],[corr_y]]/1000</f>
        <v>3.8880850000000002</v>
      </c>
      <c r="U263" s="8">
        <f>Tabelle1[[#This Row],[corr_z]]/1000</f>
        <v>20.274999999999999</v>
      </c>
      <c r="V263" s="8">
        <f>Tabelle1[[#This Row],[corr_soma_x]]/1000</f>
        <v>15.7536</v>
      </c>
      <c r="W263" s="8">
        <f>Tabelle1[[#This Row],[corr_soma_y]]/1000</f>
        <v>23.931799999999999</v>
      </c>
      <c r="X263" s="8">
        <f>Tabelle1[[#This Row],[corr_soma_z]]/1000</f>
        <v>0.75</v>
      </c>
    </row>
    <row r="264" spans="1:24" x14ac:dyDescent="0.35">
      <c r="A264" s="7" t="s">
        <v>13</v>
      </c>
      <c r="B264" s="7" t="s">
        <v>18</v>
      </c>
      <c r="C264" s="6">
        <v>17</v>
      </c>
      <c r="D264" s="2">
        <v>7399.2349999999997</v>
      </c>
      <c r="E264" s="2">
        <v>3630.83</v>
      </c>
      <c r="F264" s="2">
        <v>20825.000000000004</v>
      </c>
      <c r="G264" s="2">
        <v>15753.6</v>
      </c>
      <c r="H264" s="2">
        <v>23931.8</v>
      </c>
      <c r="I264" s="2">
        <v>750</v>
      </c>
      <c r="J264" s="2">
        <v>7399.2349999999997</v>
      </c>
      <c r="K264" s="2">
        <v>3630.83</v>
      </c>
      <c r="L264" s="2">
        <v>20825.000000000004</v>
      </c>
      <c r="M264" s="2">
        <v>15753.6</v>
      </c>
      <c r="N264" s="2">
        <v>23931.8</v>
      </c>
      <c r="O264" s="2">
        <v>750</v>
      </c>
      <c r="P264" s="8">
        <v>3.46109E-2</v>
      </c>
      <c r="Q264" s="8">
        <v>1.16544</v>
      </c>
      <c r="R264" s="8">
        <v>8.3802799999999997E-2</v>
      </c>
      <c r="S264" s="8">
        <f>Tabelle1[[#This Row],[corr_x]]/1000</f>
        <v>7.399235</v>
      </c>
      <c r="T264" s="8">
        <f>Tabelle1[[#This Row],[corr_y]]/1000</f>
        <v>3.63083</v>
      </c>
      <c r="U264" s="8">
        <f>Tabelle1[[#This Row],[corr_z]]/1000</f>
        <v>20.825000000000003</v>
      </c>
      <c r="V264" s="8">
        <f>Tabelle1[[#This Row],[corr_soma_x]]/1000</f>
        <v>15.7536</v>
      </c>
      <c r="W264" s="8">
        <f>Tabelle1[[#This Row],[corr_soma_y]]/1000</f>
        <v>23.931799999999999</v>
      </c>
      <c r="X264" s="8">
        <f>Tabelle1[[#This Row],[corr_soma_z]]/1000</f>
        <v>0.75</v>
      </c>
    </row>
    <row r="265" spans="1:24" x14ac:dyDescent="0.35">
      <c r="A265" s="7" t="s">
        <v>13</v>
      </c>
      <c r="B265" s="7" t="s">
        <v>18</v>
      </c>
      <c r="C265" s="6">
        <v>18</v>
      </c>
      <c r="D265" s="2">
        <v>7434.9</v>
      </c>
      <c r="E265" s="2">
        <v>3696.4</v>
      </c>
      <c r="F265" s="2">
        <v>22150</v>
      </c>
      <c r="G265" s="2">
        <v>15753.6</v>
      </c>
      <c r="H265" s="2">
        <v>23931.8</v>
      </c>
      <c r="I265" s="2">
        <v>750</v>
      </c>
      <c r="J265" s="2">
        <v>7434.9</v>
      </c>
      <c r="K265" s="2">
        <v>3696.4</v>
      </c>
      <c r="L265" s="2">
        <v>22150</v>
      </c>
      <c r="M265" s="2">
        <v>15753.6</v>
      </c>
      <c r="N265" s="2">
        <v>23931.8</v>
      </c>
      <c r="O265" s="2">
        <v>750</v>
      </c>
      <c r="P265" s="8">
        <v>5.8720300000000003E-2</v>
      </c>
      <c r="Q265" s="8">
        <v>1.2154199999999999</v>
      </c>
      <c r="R265" s="8">
        <v>9.0040300000000004E-2</v>
      </c>
      <c r="S265" s="8">
        <f>Tabelle1[[#This Row],[corr_x]]/1000</f>
        <v>7.4348999999999998</v>
      </c>
      <c r="T265" s="8">
        <f>Tabelle1[[#This Row],[corr_y]]/1000</f>
        <v>3.6964000000000001</v>
      </c>
      <c r="U265" s="8">
        <f>Tabelle1[[#This Row],[corr_z]]/1000</f>
        <v>22.15</v>
      </c>
      <c r="V265" s="8">
        <f>Tabelle1[[#This Row],[corr_soma_x]]/1000</f>
        <v>15.7536</v>
      </c>
      <c r="W265" s="8">
        <f>Tabelle1[[#This Row],[corr_soma_y]]/1000</f>
        <v>23.931799999999999</v>
      </c>
      <c r="X265" s="8">
        <f>Tabelle1[[#This Row],[corr_soma_z]]/1000</f>
        <v>0.75</v>
      </c>
    </row>
    <row r="266" spans="1:24" x14ac:dyDescent="0.35">
      <c r="A266" s="7" t="s">
        <v>13</v>
      </c>
      <c r="B266" s="7" t="s">
        <v>18</v>
      </c>
      <c r="C266" s="6">
        <v>19</v>
      </c>
      <c r="D266" s="2">
        <v>7545.34</v>
      </c>
      <c r="E266" s="2">
        <v>3418.5</v>
      </c>
      <c r="F266" s="2">
        <v>22700</v>
      </c>
      <c r="G266" s="2">
        <v>15753.6</v>
      </c>
      <c r="H266" s="2">
        <v>23931.8</v>
      </c>
      <c r="I266" s="2">
        <v>750</v>
      </c>
      <c r="J266" s="2">
        <v>7545.34</v>
      </c>
      <c r="K266" s="2">
        <v>3418.5</v>
      </c>
      <c r="L266" s="2">
        <v>22700</v>
      </c>
      <c r="M266" s="2">
        <v>15753.6</v>
      </c>
      <c r="N266" s="2">
        <v>23931.8</v>
      </c>
      <c r="O266" s="2">
        <v>750</v>
      </c>
      <c r="P266" s="8">
        <v>2.68714E-2</v>
      </c>
      <c r="Q266" s="8">
        <v>0.75616399999999995</v>
      </c>
      <c r="R266" s="8">
        <v>6.2662999999999996E-2</v>
      </c>
      <c r="S266" s="8">
        <f>Tabelle1[[#This Row],[corr_x]]/1000</f>
        <v>7.5453400000000004</v>
      </c>
      <c r="T266" s="8">
        <f>Tabelle1[[#This Row],[corr_y]]/1000</f>
        <v>3.4184999999999999</v>
      </c>
      <c r="U266" s="8">
        <f>Tabelle1[[#This Row],[corr_z]]/1000</f>
        <v>22.7</v>
      </c>
      <c r="V266" s="8">
        <f>Tabelle1[[#This Row],[corr_soma_x]]/1000</f>
        <v>15.7536</v>
      </c>
      <c r="W266" s="8">
        <f>Tabelle1[[#This Row],[corr_soma_y]]/1000</f>
        <v>23.931799999999999</v>
      </c>
      <c r="X266" s="8">
        <f>Tabelle1[[#This Row],[corr_soma_z]]/1000</f>
        <v>0.75</v>
      </c>
    </row>
    <row r="267" spans="1:24" x14ac:dyDescent="0.35">
      <c r="A267" s="7" t="s">
        <v>13</v>
      </c>
      <c r="B267" s="7" t="s">
        <v>18</v>
      </c>
      <c r="C267" s="6">
        <v>20</v>
      </c>
      <c r="D267" s="2">
        <v>7522.0550000000003</v>
      </c>
      <c r="E267" s="2">
        <v>3215.3249999999998</v>
      </c>
      <c r="F267" s="2">
        <v>23325.000000000004</v>
      </c>
      <c r="G267" s="2">
        <v>15753.6</v>
      </c>
      <c r="H267" s="2">
        <v>23931.8</v>
      </c>
      <c r="I267" s="2">
        <v>750</v>
      </c>
      <c r="J267" s="2">
        <v>7522.0550000000003</v>
      </c>
      <c r="K267" s="2">
        <v>3215.3249999999998</v>
      </c>
      <c r="L267" s="2">
        <v>23325.000000000004</v>
      </c>
      <c r="M267" s="2">
        <v>15753.6</v>
      </c>
      <c r="N267" s="2">
        <v>23931.8</v>
      </c>
      <c r="O267" s="2">
        <v>750</v>
      </c>
      <c r="P267" s="8">
        <v>3.2011900000000003E-2</v>
      </c>
      <c r="Q267" s="8">
        <v>0.98007200000000005</v>
      </c>
      <c r="R267" s="8">
        <v>4.4899300000000003E-2</v>
      </c>
      <c r="S267" s="8">
        <f>Tabelle1[[#This Row],[corr_x]]/1000</f>
        <v>7.5220549999999999</v>
      </c>
      <c r="T267" s="8">
        <f>Tabelle1[[#This Row],[corr_y]]/1000</f>
        <v>3.215325</v>
      </c>
      <c r="U267" s="8">
        <f>Tabelle1[[#This Row],[corr_z]]/1000</f>
        <v>23.325000000000003</v>
      </c>
      <c r="V267" s="8">
        <f>Tabelle1[[#This Row],[corr_soma_x]]/1000</f>
        <v>15.7536</v>
      </c>
      <c r="W267" s="8">
        <f>Tabelle1[[#This Row],[corr_soma_y]]/1000</f>
        <v>23.931799999999999</v>
      </c>
      <c r="X267" s="8">
        <f>Tabelle1[[#This Row],[corr_soma_z]]/1000</f>
        <v>0.75</v>
      </c>
    </row>
    <row r="268" spans="1:24" x14ac:dyDescent="0.35">
      <c r="A268" s="7" t="s">
        <v>13</v>
      </c>
      <c r="B268" s="7" t="s">
        <v>18</v>
      </c>
      <c r="C268" s="6">
        <v>21</v>
      </c>
      <c r="D268" s="2">
        <v>7970.7800000000007</v>
      </c>
      <c r="E268" s="2">
        <v>3240.5</v>
      </c>
      <c r="F268" s="2">
        <v>25550</v>
      </c>
      <c r="G268" s="2">
        <v>15753.6</v>
      </c>
      <c r="H268" s="2">
        <v>23931.8</v>
      </c>
      <c r="I268" s="2">
        <v>750</v>
      </c>
      <c r="J268" s="2">
        <v>7970.7800000000007</v>
      </c>
      <c r="K268" s="2">
        <v>3240.5</v>
      </c>
      <c r="L268" s="2">
        <v>25550</v>
      </c>
      <c r="M268" s="2">
        <v>15753.6</v>
      </c>
      <c r="N268" s="2">
        <v>23931.8</v>
      </c>
      <c r="O268" s="2">
        <v>750</v>
      </c>
      <c r="P268" s="8">
        <v>2.3101E-2</v>
      </c>
      <c r="Q268" s="8">
        <v>0.38316800000000001</v>
      </c>
      <c r="R268" s="8">
        <v>1.0429300000000001E-2</v>
      </c>
      <c r="S268" s="8">
        <f>Tabelle1[[#This Row],[corr_x]]/1000</f>
        <v>7.9707800000000004</v>
      </c>
      <c r="T268" s="8">
        <f>Tabelle1[[#This Row],[corr_y]]/1000</f>
        <v>3.2404999999999999</v>
      </c>
      <c r="U268" s="8">
        <f>Tabelle1[[#This Row],[corr_z]]/1000</f>
        <v>25.55</v>
      </c>
      <c r="V268" s="8">
        <f>Tabelle1[[#This Row],[corr_soma_x]]/1000</f>
        <v>15.7536</v>
      </c>
      <c r="W268" s="8">
        <f>Tabelle1[[#This Row],[corr_soma_y]]/1000</f>
        <v>23.931799999999999</v>
      </c>
      <c r="X268" s="8">
        <f>Tabelle1[[#This Row],[corr_soma_z]]/1000</f>
        <v>0.75</v>
      </c>
    </row>
    <row r="269" spans="1:24" x14ac:dyDescent="0.35">
      <c r="A269" s="7" t="s">
        <v>13</v>
      </c>
      <c r="B269" s="7" t="s">
        <v>18</v>
      </c>
      <c r="C269" s="6">
        <v>22</v>
      </c>
      <c r="D269" s="2">
        <v>7762.46</v>
      </c>
      <c r="E269" s="2">
        <v>2805.8399999999997</v>
      </c>
      <c r="F269" s="2">
        <v>25550</v>
      </c>
      <c r="G269" s="2">
        <v>15753.6</v>
      </c>
      <c r="H269" s="2">
        <v>23931.8</v>
      </c>
      <c r="I269" s="2">
        <v>750</v>
      </c>
      <c r="J269" s="2">
        <v>7762.46</v>
      </c>
      <c r="K269" s="2">
        <v>2805.8399999999997</v>
      </c>
      <c r="L269" s="2">
        <v>25550</v>
      </c>
      <c r="M269" s="2">
        <v>15753.6</v>
      </c>
      <c r="N269" s="2">
        <v>23931.8</v>
      </c>
      <c r="O269" s="2">
        <v>750</v>
      </c>
      <c r="P269" s="8">
        <v>4.0455900000000003E-2</v>
      </c>
      <c r="Q269" s="8">
        <v>1.47431</v>
      </c>
      <c r="R269" s="8">
        <v>9.79328E-2</v>
      </c>
      <c r="S269" s="8">
        <f>Tabelle1[[#This Row],[corr_x]]/1000</f>
        <v>7.7624599999999999</v>
      </c>
      <c r="T269" s="8">
        <f>Tabelle1[[#This Row],[corr_y]]/1000</f>
        <v>2.8058399999999999</v>
      </c>
      <c r="U269" s="8">
        <f>Tabelle1[[#This Row],[corr_z]]/1000</f>
        <v>25.55</v>
      </c>
      <c r="V269" s="8">
        <f>Tabelle1[[#This Row],[corr_soma_x]]/1000</f>
        <v>15.7536</v>
      </c>
      <c r="W269" s="8">
        <f>Tabelle1[[#This Row],[corr_soma_y]]/1000</f>
        <v>23.931799999999999</v>
      </c>
      <c r="X269" s="8">
        <f>Tabelle1[[#This Row],[corr_soma_z]]/1000</f>
        <v>0.75</v>
      </c>
    </row>
    <row r="270" spans="1:24" x14ac:dyDescent="0.35">
      <c r="A270" s="7" t="s">
        <v>14</v>
      </c>
      <c r="B270" s="7" t="s">
        <v>18</v>
      </c>
      <c r="C270" s="6">
        <v>2</v>
      </c>
      <c r="D270" s="4">
        <v>5092.3099999999995</v>
      </c>
      <c r="E270" s="4">
        <v>2888.95</v>
      </c>
      <c r="F270" s="4">
        <v>775</v>
      </c>
      <c r="G270" s="3">
        <v>7926.67</v>
      </c>
      <c r="H270" s="3">
        <v>3112.33</v>
      </c>
      <c r="I270" s="3">
        <v>950</v>
      </c>
      <c r="J270" s="4">
        <v>5092.3099999999995</v>
      </c>
      <c r="K270" s="4">
        <v>2888.95</v>
      </c>
      <c r="L270" s="4">
        <v>775</v>
      </c>
      <c r="M270" s="3">
        <v>7926.67</v>
      </c>
      <c r="N270" s="3">
        <v>3112.33</v>
      </c>
      <c r="O270" s="3">
        <v>950</v>
      </c>
      <c r="P270" s="8">
        <v>5.9982099999999997E-2</v>
      </c>
      <c r="Q270" s="8">
        <v>0.80644099999999996</v>
      </c>
      <c r="R270" s="8">
        <v>3.8514600000000003E-2</v>
      </c>
      <c r="S270" s="8">
        <f>Tabelle1[[#This Row],[corr_x]]/1000</f>
        <v>5.0923099999999994</v>
      </c>
      <c r="T270" s="8">
        <f>Tabelle1[[#This Row],[corr_y]]/1000</f>
        <v>2.8889499999999999</v>
      </c>
      <c r="U270" s="8">
        <f>Tabelle1[[#This Row],[corr_z]]/1000</f>
        <v>0.77500000000000002</v>
      </c>
      <c r="V270" s="8">
        <f>Tabelle1[[#This Row],[corr_soma_x]]/1000</f>
        <v>7.9266699999999997</v>
      </c>
      <c r="W270" s="8">
        <f>Tabelle1[[#This Row],[corr_soma_y]]/1000</f>
        <v>3.11233</v>
      </c>
      <c r="X270" s="8">
        <f>Tabelle1[[#This Row],[corr_soma_z]]/1000</f>
        <v>0.95</v>
      </c>
    </row>
    <row r="271" spans="1:24" x14ac:dyDescent="0.35">
      <c r="A271" s="7" t="s">
        <v>14</v>
      </c>
      <c r="B271" s="7" t="s">
        <v>18</v>
      </c>
      <c r="C271" s="6">
        <v>3</v>
      </c>
      <c r="D271" s="4">
        <v>5659.4</v>
      </c>
      <c r="E271" s="4">
        <v>3266.375</v>
      </c>
      <c r="F271" s="4">
        <v>825</v>
      </c>
      <c r="G271" s="3">
        <v>7926.67</v>
      </c>
      <c r="H271" s="3">
        <v>3112.33</v>
      </c>
      <c r="I271" s="3">
        <v>950</v>
      </c>
      <c r="J271" s="4">
        <v>5659.4</v>
      </c>
      <c r="K271" s="4">
        <v>3266.375</v>
      </c>
      <c r="L271" s="4">
        <v>825</v>
      </c>
      <c r="M271" s="3">
        <v>7926.67</v>
      </c>
      <c r="N271" s="3">
        <v>3112.33</v>
      </c>
      <c r="O271" s="3">
        <v>950</v>
      </c>
      <c r="P271" s="8">
        <v>0.16611999999999999</v>
      </c>
      <c r="Q271" s="8">
        <v>3.65036</v>
      </c>
      <c r="R271" s="8">
        <v>0.26057900000000001</v>
      </c>
      <c r="S271" s="8">
        <f>Tabelle1[[#This Row],[corr_x]]/1000</f>
        <v>5.6593999999999998</v>
      </c>
      <c r="T271" s="8">
        <f>Tabelle1[[#This Row],[corr_y]]/1000</f>
        <v>3.266375</v>
      </c>
      <c r="U271" s="8">
        <f>Tabelle1[[#This Row],[corr_z]]/1000</f>
        <v>0.82499999999999996</v>
      </c>
      <c r="V271" s="8">
        <f>Tabelle1[[#This Row],[corr_soma_x]]/1000</f>
        <v>7.9266699999999997</v>
      </c>
      <c r="W271" s="8">
        <f>Tabelle1[[#This Row],[corr_soma_y]]/1000</f>
        <v>3.11233</v>
      </c>
      <c r="X271" s="8">
        <f>Tabelle1[[#This Row],[corr_soma_z]]/1000</f>
        <v>0.95</v>
      </c>
    </row>
    <row r="272" spans="1:24" x14ac:dyDescent="0.35">
      <c r="A272" s="7" t="s">
        <v>14</v>
      </c>
      <c r="B272" s="7" t="s">
        <v>19</v>
      </c>
      <c r="C272" s="6">
        <v>1</v>
      </c>
      <c r="D272" s="4">
        <v>5040.2150000000001</v>
      </c>
      <c r="E272" s="4">
        <v>3357.7150000000001</v>
      </c>
      <c r="F272" s="4">
        <v>1175</v>
      </c>
      <c r="G272" s="3">
        <v>7926.67</v>
      </c>
      <c r="H272" s="3">
        <v>3112.33</v>
      </c>
      <c r="I272" s="3">
        <v>950</v>
      </c>
      <c r="J272" s="4">
        <v>5040.2150000000001</v>
      </c>
      <c r="K272" s="4">
        <v>3357.7150000000001</v>
      </c>
      <c r="L272" s="4">
        <v>1175</v>
      </c>
      <c r="M272" s="3">
        <v>7926.67</v>
      </c>
      <c r="N272" s="3">
        <v>3112.33</v>
      </c>
      <c r="O272" s="3">
        <v>950</v>
      </c>
      <c r="P272" s="8">
        <v>5.5238699999999995E-2</v>
      </c>
      <c r="Q272" s="8">
        <v>1.15835</v>
      </c>
      <c r="R272" s="8">
        <v>7.4952199999999997E-2</v>
      </c>
      <c r="S272" s="8">
        <f>Tabelle1[[#This Row],[corr_x]]/1000</f>
        <v>5.0402149999999999</v>
      </c>
      <c r="T272" s="8">
        <f>Tabelle1[[#This Row],[corr_y]]/1000</f>
        <v>3.3577150000000002</v>
      </c>
      <c r="U272" s="8">
        <f>Tabelle1[[#This Row],[corr_z]]/1000</f>
        <v>1.175</v>
      </c>
      <c r="V272" s="8">
        <f>Tabelle1[[#This Row],[corr_soma_x]]/1000</f>
        <v>7.9266699999999997</v>
      </c>
      <c r="W272" s="8">
        <f>Tabelle1[[#This Row],[corr_soma_y]]/1000</f>
        <v>3.11233</v>
      </c>
      <c r="X272" s="8">
        <f>Tabelle1[[#This Row],[corr_soma_z]]/1000</f>
        <v>0.95</v>
      </c>
    </row>
    <row r="273" spans="1:24" x14ac:dyDescent="0.35">
      <c r="A273" s="7" t="s">
        <v>14</v>
      </c>
      <c r="B273" s="7" t="s">
        <v>19</v>
      </c>
      <c r="C273" s="6">
        <v>3</v>
      </c>
      <c r="D273" s="4">
        <v>5239.2649999999994</v>
      </c>
      <c r="E273" s="4">
        <v>3864.415</v>
      </c>
      <c r="F273" s="4">
        <v>1875</v>
      </c>
      <c r="G273" s="3">
        <v>7926.67</v>
      </c>
      <c r="H273" s="3">
        <v>3112.33</v>
      </c>
      <c r="I273" s="3">
        <v>950</v>
      </c>
      <c r="J273" s="4">
        <v>5239.2649999999994</v>
      </c>
      <c r="K273" s="4">
        <v>3864.415</v>
      </c>
      <c r="L273" s="4">
        <v>1875</v>
      </c>
      <c r="M273" s="3">
        <v>7926.67</v>
      </c>
      <c r="N273" s="3">
        <v>3112.33</v>
      </c>
      <c r="O273" s="3">
        <v>950</v>
      </c>
      <c r="P273" s="8">
        <v>6.8454600000000004E-2</v>
      </c>
      <c r="Q273" s="8">
        <v>2.6333700000000002</v>
      </c>
      <c r="R273" s="8">
        <v>0.17199800000000001</v>
      </c>
      <c r="S273" s="8">
        <f>Tabelle1[[#This Row],[corr_x]]/1000</f>
        <v>5.2392649999999996</v>
      </c>
      <c r="T273" s="8">
        <f>Tabelle1[[#This Row],[corr_y]]/1000</f>
        <v>3.8644150000000002</v>
      </c>
      <c r="U273" s="8">
        <f>Tabelle1[[#This Row],[corr_z]]/1000</f>
        <v>1.875</v>
      </c>
      <c r="V273" s="8">
        <f>Tabelle1[[#This Row],[corr_soma_x]]/1000</f>
        <v>7.9266699999999997</v>
      </c>
      <c r="W273" s="8">
        <f>Tabelle1[[#This Row],[corr_soma_y]]/1000</f>
        <v>3.11233</v>
      </c>
      <c r="X273" s="8">
        <f>Tabelle1[[#This Row],[corr_soma_z]]/1000</f>
        <v>0.95</v>
      </c>
    </row>
    <row r="274" spans="1:24" x14ac:dyDescent="0.35">
      <c r="A274" s="7" t="s">
        <v>14</v>
      </c>
      <c r="B274" s="7" t="s">
        <v>18</v>
      </c>
      <c r="C274" s="6">
        <v>4</v>
      </c>
      <c r="D274" s="4">
        <v>5152.76</v>
      </c>
      <c r="E274" s="4">
        <v>4087.93</v>
      </c>
      <c r="F274" s="4">
        <v>2250</v>
      </c>
      <c r="G274" s="3">
        <v>7926.67</v>
      </c>
      <c r="H274" s="3">
        <v>3112.33</v>
      </c>
      <c r="I274" s="3">
        <v>950</v>
      </c>
      <c r="J274" s="4">
        <v>5152.76</v>
      </c>
      <c r="K274" s="4">
        <v>4087.93</v>
      </c>
      <c r="L274" s="4">
        <v>2250</v>
      </c>
      <c r="M274" s="3">
        <v>7926.67</v>
      </c>
      <c r="N274" s="3">
        <v>3112.33</v>
      </c>
      <c r="O274" s="3">
        <v>950</v>
      </c>
      <c r="P274" s="8">
        <v>2.10031E-2</v>
      </c>
      <c r="Q274" s="8">
        <v>1.04291</v>
      </c>
      <c r="R274" s="8">
        <v>4.5959199999999999E-2</v>
      </c>
      <c r="S274" s="8">
        <f>Tabelle1[[#This Row],[corr_x]]/1000</f>
        <v>5.1527599999999998</v>
      </c>
      <c r="T274" s="8">
        <f>Tabelle1[[#This Row],[corr_y]]/1000</f>
        <v>4.0879300000000001</v>
      </c>
      <c r="U274" s="8">
        <f>Tabelle1[[#This Row],[corr_z]]/1000</f>
        <v>2.25</v>
      </c>
      <c r="V274" s="8">
        <f>Tabelle1[[#This Row],[corr_soma_x]]/1000</f>
        <v>7.9266699999999997</v>
      </c>
      <c r="W274" s="8">
        <f>Tabelle1[[#This Row],[corr_soma_y]]/1000</f>
        <v>3.11233</v>
      </c>
      <c r="X274" s="8">
        <f>Tabelle1[[#This Row],[corr_soma_z]]/1000</f>
        <v>0.95</v>
      </c>
    </row>
    <row r="275" spans="1:24" x14ac:dyDescent="0.35">
      <c r="A275" s="7" t="s">
        <v>14</v>
      </c>
      <c r="B275" s="7" t="s">
        <v>18</v>
      </c>
      <c r="C275" s="6">
        <v>5</v>
      </c>
      <c r="D275" s="4">
        <v>5333.19</v>
      </c>
      <c r="E275" s="4">
        <v>4143.9399999999996</v>
      </c>
      <c r="F275" s="4">
        <v>2400</v>
      </c>
      <c r="G275" s="3">
        <v>7926.67</v>
      </c>
      <c r="H275" s="3">
        <v>3112.33</v>
      </c>
      <c r="I275" s="3">
        <v>950</v>
      </c>
      <c r="J275" s="4">
        <v>5333.19</v>
      </c>
      <c r="K275" s="4">
        <v>4143.9399999999996</v>
      </c>
      <c r="L275" s="4">
        <v>2400</v>
      </c>
      <c r="M275" s="3">
        <v>7926.67</v>
      </c>
      <c r="N275" s="3">
        <v>3112.33</v>
      </c>
      <c r="O275" s="3">
        <v>950</v>
      </c>
      <c r="P275" s="8">
        <v>5.2200499999999997E-2</v>
      </c>
      <c r="Q275" s="8">
        <v>0.50326199999999999</v>
      </c>
      <c r="R275" s="8">
        <v>3.1539900000000003E-2</v>
      </c>
      <c r="S275" s="8">
        <f>Tabelle1[[#This Row],[corr_x]]/1000</f>
        <v>5.3331899999999992</v>
      </c>
      <c r="T275" s="8">
        <f>Tabelle1[[#This Row],[corr_y]]/1000</f>
        <v>4.1439399999999997</v>
      </c>
      <c r="U275" s="8">
        <f>Tabelle1[[#This Row],[corr_z]]/1000</f>
        <v>2.4</v>
      </c>
      <c r="V275" s="8">
        <f>Tabelle1[[#This Row],[corr_soma_x]]/1000</f>
        <v>7.9266699999999997</v>
      </c>
      <c r="W275" s="8">
        <f>Tabelle1[[#This Row],[corr_soma_y]]/1000</f>
        <v>3.11233</v>
      </c>
      <c r="X275" s="8">
        <f>Tabelle1[[#This Row],[corr_soma_z]]/1000</f>
        <v>0.95</v>
      </c>
    </row>
    <row r="276" spans="1:24" x14ac:dyDescent="0.35">
      <c r="A276" s="7" t="s">
        <v>14</v>
      </c>
      <c r="B276" s="7" t="s">
        <v>18</v>
      </c>
      <c r="C276" s="6">
        <v>6</v>
      </c>
      <c r="D276" s="4">
        <v>5713.18</v>
      </c>
      <c r="E276" s="4">
        <v>3212.9449999999997</v>
      </c>
      <c r="F276" s="4">
        <v>2325</v>
      </c>
      <c r="G276" s="3">
        <v>7926.67</v>
      </c>
      <c r="H276" s="3">
        <v>3112.33</v>
      </c>
      <c r="I276" s="3">
        <v>950</v>
      </c>
      <c r="J276" s="4">
        <v>5713.18</v>
      </c>
      <c r="K276" s="4">
        <v>3212.9449999999997</v>
      </c>
      <c r="L276" s="4">
        <v>2325</v>
      </c>
      <c r="M276" s="3">
        <v>7926.67</v>
      </c>
      <c r="N276" s="3">
        <v>3112.33</v>
      </c>
      <c r="O276" s="3">
        <v>950</v>
      </c>
      <c r="P276" s="8">
        <v>1.70907E-2</v>
      </c>
      <c r="Q276" s="8">
        <v>0.39712700000000001</v>
      </c>
      <c r="R276" s="8">
        <v>1.4555200000000001E-2</v>
      </c>
      <c r="S276" s="8">
        <f>Tabelle1[[#This Row],[corr_x]]/1000</f>
        <v>5.7131800000000004</v>
      </c>
      <c r="T276" s="8">
        <f>Tabelle1[[#This Row],[corr_y]]/1000</f>
        <v>3.2129449999999995</v>
      </c>
      <c r="U276" s="8">
        <f>Tabelle1[[#This Row],[corr_z]]/1000</f>
        <v>2.3250000000000002</v>
      </c>
      <c r="V276" s="8">
        <f>Tabelle1[[#This Row],[corr_soma_x]]/1000</f>
        <v>7.9266699999999997</v>
      </c>
      <c r="W276" s="8">
        <f>Tabelle1[[#This Row],[corr_soma_y]]/1000</f>
        <v>3.11233</v>
      </c>
      <c r="X276" s="8">
        <f>Tabelle1[[#This Row],[corr_soma_z]]/1000</f>
        <v>0.95</v>
      </c>
    </row>
    <row r="277" spans="1:24" x14ac:dyDescent="0.35">
      <c r="A277" s="7" t="s">
        <v>14</v>
      </c>
      <c r="B277" s="7" t="s">
        <v>18</v>
      </c>
      <c r="C277" s="6">
        <v>7</v>
      </c>
      <c r="D277" s="4">
        <v>5368.75</v>
      </c>
      <c r="E277" s="4">
        <v>3367.3450000000003</v>
      </c>
      <c r="F277" s="4">
        <v>2125</v>
      </c>
      <c r="G277" s="3">
        <v>7926.67</v>
      </c>
      <c r="H277" s="3">
        <v>3112.33</v>
      </c>
      <c r="I277" s="3">
        <v>950</v>
      </c>
      <c r="J277" s="4">
        <v>5368.75</v>
      </c>
      <c r="K277" s="4">
        <v>3367.3450000000003</v>
      </c>
      <c r="L277" s="4">
        <v>2125</v>
      </c>
      <c r="M277" s="3">
        <v>7926.67</v>
      </c>
      <c r="N277" s="3">
        <v>3112.33</v>
      </c>
      <c r="O277" s="3">
        <v>950</v>
      </c>
      <c r="P277" s="8">
        <v>3.0422299999999999E-2</v>
      </c>
      <c r="Q277" s="8">
        <v>0.63871800000000001</v>
      </c>
      <c r="R277" s="8">
        <v>2.2076399999999999E-2</v>
      </c>
      <c r="S277" s="8">
        <f>Tabelle1[[#This Row],[corr_x]]/1000</f>
        <v>5.3687500000000004</v>
      </c>
      <c r="T277" s="8">
        <f>Tabelle1[[#This Row],[corr_y]]/1000</f>
        <v>3.3673450000000003</v>
      </c>
      <c r="U277" s="8">
        <f>Tabelle1[[#This Row],[corr_z]]/1000</f>
        <v>2.125</v>
      </c>
      <c r="V277" s="8">
        <f>Tabelle1[[#This Row],[corr_soma_x]]/1000</f>
        <v>7.9266699999999997</v>
      </c>
      <c r="W277" s="8">
        <f>Tabelle1[[#This Row],[corr_soma_y]]/1000</f>
        <v>3.11233</v>
      </c>
      <c r="X277" s="8">
        <f>Tabelle1[[#This Row],[corr_soma_z]]/1000</f>
        <v>0.95</v>
      </c>
    </row>
    <row r="278" spans="1:24" x14ac:dyDescent="0.35">
      <c r="A278" s="7" t="s">
        <v>14</v>
      </c>
      <c r="B278" s="7" t="s">
        <v>19</v>
      </c>
      <c r="C278" s="6">
        <v>4</v>
      </c>
      <c r="D278" s="4">
        <v>5604.7250000000004</v>
      </c>
      <c r="E278" s="4">
        <v>3221.6950000000002</v>
      </c>
      <c r="F278" s="4">
        <v>2825</v>
      </c>
      <c r="G278" s="3">
        <v>7926.67</v>
      </c>
      <c r="H278" s="3">
        <v>3112.33</v>
      </c>
      <c r="I278" s="3">
        <v>950</v>
      </c>
      <c r="J278" s="4">
        <v>5604.7250000000004</v>
      </c>
      <c r="K278" s="4">
        <v>3221.6950000000002</v>
      </c>
      <c r="L278" s="4">
        <v>2825</v>
      </c>
      <c r="M278" s="3">
        <v>7926.67</v>
      </c>
      <c r="N278" s="3">
        <v>3112.33</v>
      </c>
      <c r="O278" s="3">
        <v>950</v>
      </c>
      <c r="P278" s="8">
        <v>3.6658099999999999E-2</v>
      </c>
      <c r="Q278" s="8">
        <v>2.1962999999999999</v>
      </c>
      <c r="R278" s="8">
        <v>0.167771</v>
      </c>
      <c r="S278" s="8">
        <f>Tabelle1[[#This Row],[corr_x]]/1000</f>
        <v>5.6047250000000002</v>
      </c>
      <c r="T278" s="8">
        <f>Tabelle1[[#This Row],[corr_y]]/1000</f>
        <v>3.221695</v>
      </c>
      <c r="U278" s="8">
        <f>Tabelle1[[#This Row],[corr_z]]/1000</f>
        <v>2.8250000000000002</v>
      </c>
      <c r="V278" s="8">
        <f>Tabelle1[[#This Row],[corr_soma_x]]/1000</f>
        <v>7.9266699999999997</v>
      </c>
      <c r="W278" s="8">
        <f>Tabelle1[[#This Row],[corr_soma_y]]/1000</f>
        <v>3.11233</v>
      </c>
      <c r="X278" s="8">
        <f>Tabelle1[[#This Row],[corr_soma_z]]/1000</f>
        <v>0.95</v>
      </c>
    </row>
    <row r="279" spans="1:24" x14ac:dyDescent="0.35">
      <c r="A279" s="7" t="s">
        <v>14</v>
      </c>
      <c r="B279" s="7" t="s">
        <v>18</v>
      </c>
      <c r="C279" s="6">
        <v>8</v>
      </c>
      <c r="D279" s="4">
        <v>5771.96</v>
      </c>
      <c r="E279" s="4">
        <v>4285.79</v>
      </c>
      <c r="F279" s="4">
        <v>2950</v>
      </c>
      <c r="G279" s="3">
        <v>7926.67</v>
      </c>
      <c r="H279" s="3">
        <v>3112.33</v>
      </c>
      <c r="I279" s="3">
        <v>950</v>
      </c>
      <c r="J279" s="4">
        <v>5771.96</v>
      </c>
      <c r="K279" s="4">
        <v>4285.79</v>
      </c>
      <c r="L279" s="4">
        <v>2950</v>
      </c>
      <c r="M279" s="3">
        <v>7926.67</v>
      </c>
      <c r="N279" s="3">
        <v>3112.33</v>
      </c>
      <c r="O279" s="3">
        <v>950</v>
      </c>
      <c r="P279" s="8">
        <v>4.11042E-2</v>
      </c>
      <c r="Q279" s="8">
        <v>3.03654</v>
      </c>
      <c r="R279" s="8">
        <v>0.24973600000000001</v>
      </c>
      <c r="S279" s="8">
        <f>Tabelle1[[#This Row],[corr_x]]/1000</f>
        <v>5.77196</v>
      </c>
      <c r="T279" s="8">
        <f>Tabelle1[[#This Row],[corr_y]]/1000</f>
        <v>4.2857899999999995</v>
      </c>
      <c r="U279" s="8">
        <f>Tabelle1[[#This Row],[corr_z]]/1000</f>
        <v>2.95</v>
      </c>
      <c r="V279" s="8">
        <f>Tabelle1[[#This Row],[corr_soma_x]]/1000</f>
        <v>7.9266699999999997</v>
      </c>
      <c r="W279" s="8">
        <f>Tabelle1[[#This Row],[corr_soma_y]]/1000</f>
        <v>3.11233</v>
      </c>
      <c r="X279" s="8">
        <f>Tabelle1[[#This Row],[corr_soma_z]]/1000</f>
        <v>0.95</v>
      </c>
    </row>
    <row r="280" spans="1:24" x14ac:dyDescent="0.35">
      <c r="A280" s="7" t="s">
        <v>14</v>
      </c>
      <c r="B280" s="7" t="s">
        <v>18</v>
      </c>
      <c r="C280" s="6">
        <v>9</v>
      </c>
      <c r="D280" s="4">
        <v>5479.6149999999998</v>
      </c>
      <c r="E280" s="4">
        <v>4403.5749999999998</v>
      </c>
      <c r="F280" s="4">
        <v>2125</v>
      </c>
      <c r="G280" s="3">
        <v>7926.67</v>
      </c>
      <c r="H280" s="3">
        <v>3112.33</v>
      </c>
      <c r="I280" s="3">
        <v>950</v>
      </c>
      <c r="J280" s="4">
        <v>5479.6149999999998</v>
      </c>
      <c r="K280" s="4">
        <v>4403.5749999999998</v>
      </c>
      <c r="L280" s="4">
        <v>2125</v>
      </c>
      <c r="M280" s="3">
        <v>7926.67</v>
      </c>
      <c r="N280" s="3">
        <v>3112.33</v>
      </c>
      <c r="O280" s="3">
        <v>950</v>
      </c>
      <c r="P280" s="8">
        <v>1.54755E-2</v>
      </c>
      <c r="Q280" s="8">
        <v>0.60143500000000005</v>
      </c>
      <c r="R280" s="8">
        <v>2.99116E-2</v>
      </c>
      <c r="S280" s="8">
        <f>Tabelle1[[#This Row],[corr_x]]/1000</f>
        <v>5.4796149999999999</v>
      </c>
      <c r="T280" s="8">
        <f>Tabelle1[[#This Row],[corr_y]]/1000</f>
        <v>4.403575</v>
      </c>
      <c r="U280" s="8">
        <f>Tabelle1[[#This Row],[corr_z]]/1000</f>
        <v>2.125</v>
      </c>
      <c r="V280" s="8">
        <f>Tabelle1[[#This Row],[corr_soma_x]]/1000</f>
        <v>7.9266699999999997</v>
      </c>
      <c r="W280" s="8">
        <f>Tabelle1[[#This Row],[corr_soma_y]]/1000</f>
        <v>3.11233</v>
      </c>
      <c r="X280" s="8">
        <f>Tabelle1[[#This Row],[corr_soma_z]]/1000</f>
        <v>0.95</v>
      </c>
    </row>
    <row r="281" spans="1:24" x14ac:dyDescent="0.35">
      <c r="A281" s="7" t="s">
        <v>14</v>
      </c>
      <c r="B281" s="7" t="s">
        <v>18</v>
      </c>
      <c r="C281" s="6">
        <v>10</v>
      </c>
      <c r="D281" s="4">
        <v>5771.65</v>
      </c>
      <c r="E281" s="4">
        <v>3333.98</v>
      </c>
      <c r="F281" s="4">
        <v>2025</v>
      </c>
      <c r="G281" s="3">
        <v>7926.67</v>
      </c>
      <c r="H281" s="3">
        <v>3112.33</v>
      </c>
      <c r="I281" s="3">
        <v>950</v>
      </c>
      <c r="J281" s="4">
        <v>5771.65</v>
      </c>
      <c r="K281" s="4">
        <v>3333.98</v>
      </c>
      <c r="L281" s="4">
        <v>2025</v>
      </c>
      <c r="M281" s="3">
        <v>7926.67</v>
      </c>
      <c r="N281" s="3">
        <v>3112.33</v>
      </c>
      <c r="O281" s="3">
        <v>950</v>
      </c>
      <c r="P281" s="8">
        <v>5.6780600000000001E-2</v>
      </c>
      <c r="Q281" s="8">
        <v>0.90236400000000005</v>
      </c>
      <c r="R281" s="8">
        <v>5.1954199999999999E-2</v>
      </c>
      <c r="S281" s="8">
        <f>Tabelle1[[#This Row],[corr_x]]/1000</f>
        <v>5.7716499999999993</v>
      </c>
      <c r="T281" s="8">
        <f>Tabelle1[[#This Row],[corr_y]]/1000</f>
        <v>3.3339799999999999</v>
      </c>
      <c r="U281" s="8">
        <f>Tabelle1[[#This Row],[corr_z]]/1000</f>
        <v>2.0249999999999999</v>
      </c>
      <c r="V281" s="8">
        <f>Tabelle1[[#This Row],[corr_soma_x]]/1000</f>
        <v>7.9266699999999997</v>
      </c>
      <c r="W281" s="8">
        <f>Tabelle1[[#This Row],[corr_soma_y]]/1000</f>
        <v>3.11233</v>
      </c>
      <c r="X281" s="8">
        <f>Tabelle1[[#This Row],[corr_soma_z]]/1000</f>
        <v>0.95</v>
      </c>
    </row>
    <row r="282" spans="1:24" x14ac:dyDescent="0.35">
      <c r="A282" s="7" t="s">
        <v>14</v>
      </c>
      <c r="B282" s="7" t="s">
        <v>18</v>
      </c>
      <c r="C282" s="6">
        <v>11</v>
      </c>
      <c r="D282" s="4">
        <v>6049.74</v>
      </c>
      <c r="E282" s="4">
        <v>3751.03</v>
      </c>
      <c r="F282" s="4">
        <v>2650</v>
      </c>
      <c r="G282" s="3">
        <v>7926.67</v>
      </c>
      <c r="H282" s="3">
        <v>3112.33</v>
      </c>
      <c r="I282" s="3">
        <v>950</v>
      </c>
      <c r="J282" s="4">
        <v>6049.74</v>
      </c>
      <c r="K282" s="4">
        <v>3751.03</v>
      </c>
      <c r="L282" s="4">
        <v>2650</v>
      </c>
      <c r="M282" s="3">
        <v>7926.67</v>
      </c>
      <c r="N282" s="3">
        <v>3112.33</v>
      </c>
      <c r="O282" s="3">
        <v>950</v>
      </c>
      <c r="P282" s="8">
        <v>3.7472800000000001E-2</v>
      </c>
      <c r="Q282" s="8">
        <v>0.78306399999999998</v>
      </c>
      <c r="R282" s="8">
        <v>3.7074200000000002E-2</v>
      </c>
      <c r="S282" s="8">
        <f>Tabelle1[[#This Row],[corr_x]]/1000</f>
        <v>6.0497399999999999</v>
      </c>
      <c r="T282" s="8">
        <f>Tabelle1[[#This Row],[corr_y]]/1000</f>
        <v>3.7510300000000001</v>
      </c>
      <c r="U282" s="8">
        <f>Tabelle1[[#This Row],[corr_z]]/1000</f>
        <v>2.65</v>
      </c>
      <c r="V282" s="8">
        <f>Tabelle1[[#This Row],[corr_soma_x]]/1000</f>
        <v>7.9266699999999997</v>
      </c>
      <c r="W282" s="8">
        <f>Tabelle1[[#This Row],[corr_soma_y]]/1000</f>
        <v>3.11233</v>
      </c>
      <c r="X282" s="8">
        <f>Tabelle1[[#This Row],[corr_soma_z]]/1000</f>
        <v>0.95</v>
      </c>
    </row>
    <row r="283" spans="1:24" x14ac:dyDescent="0.35">
      <c r="A283" s="7" t="s">
        <v>14</v>
      </c>
      <c r="B283" s="7" t="s">
        <v>19</v>
      </c>
      <c r="C283" s="6">
        <v>5</v>
      </c>
      <c r="D283" s="4">
        <v>5255.7</v>
      </c>
      <c r="E283" s="4">
        <v>3556.6400000000003</v>
      </c>
      <c r="F283" s="4">
        <v>2925</v>
      </c>
      <c r="G283" s="3">
        <v>7926.67</v>
      </c>
      <c r="H283" s="3">
        <v>3112.33</v>
      </c>
      <c r="I283" s="3">
        <v>950</v>
      </c>
      <c r="J283" s="4">
        <v>5255.7</v>
      </c>
      <c r="K283" s="4">
        <v>3556.6400000000003</v>
      </c>
      <c r="L283" s="4">
        <v>2925</v>
      </c>
      <c r="M283" s="3">
        <v>7926.67</v>
      </c>
      <c r="N283" s="3">
        <v>3112.33</v>
      </c>
      <c r="O283" s="3">
        <v>950</v>
      </c>
      <c r="P283" s="8">
        <v>8.4763899999999986E-3</v>
      </c>
      <c r="Q283" s="8">
        <v>0.794821</v>
      </c>
      <c r="R283" s="8">
        <v>4.3414500000000002E-2</v>
      </c>
      <c r="S283" s="8">
        <f>Tabelle1[[#This Row],[corr_x]]/1000</f>
        <v>5.2557</v>
      </c>
      <c r="T283" s="8">
        <f>Tabelle1[[#This Row],[corr_y]]/1000</f>
        <v>3.5566400000000002</v>
      </c>
      <c r="U283" s="8">
        <f>Tabelle1[[#This Row],[corr_z]]/1000</f>
        <v>2.9249999999999998</v>
      </c>
      <c r="V283" s="8">
        <f>Tabelle1[[#This Row],[corr_soma_x]]/1000</f>
        <v>7.9266699999999997</v>
      </c>
      <c r="W283" s="8">
        <f>Tabelle1[[#This Row],[corr_soma_y]]/1000</f>
        <v>3.11233</v>
      </c>
      <c r="X283" s="8">
        <f>Tabelle1[[#This Row],[corr_soma_z]]/1000</f>
        <v>0.95</v>
      </c>
    </row>
    <row r="284" spans="1:24" x14ac:dyDescent="0.35">
      <c r="A284" s="7" t="s">
        <v>14</v>
      </c>
      <c r="B284" s="7" t="s">
        <v>19</v>
      </c>
      <c r="C284" s="6">
        <v>6</v>
      </c>
      <c r="D284" s="4">
        <v>5255.01</v>
      </c>
      <c r="E284" s="4">
        <v>3494.85</v>
      </c>
      <c r="F284" s="4">
        <v>3350</v>
      </c>
      <c r="G284" s="3">
        <v>7926.67</v>
      </c>
      <c r="H284" s="3">
        <v>3112.33</v>
      </c>
      <c r="I284" s="3">
        <v>950</v>
      </c>
      <c r="J284" s="4">
        <v>5255.01</v>
      </c>
      <c r="K284" s="4">
        <v>3494.85</v>
      </c>
      <c r="L284" s="4">
        <v>3350</v>
      </c>
      <c r="M284" s="3">
        <v>7926.67</v>
      </c>
      <c r="N284" s="3">
        <v>3112.33</v>
      </c>
      <c r="O284" s="3">
        <v>950</v>
      </c>
      <c r="P284" s="8">
        <v>3.9213699999999997E-2</v>
      </c>
      <c r="Q284" s="8">
        <v>1.7599</v>
      </c>
      <c r="R284" s="8">
        <v>0.16486300000000001</v>
      </c>
      <c r="S284" s="8">
        <f>Tabelle1[[#This Row],[corr_x]]/1000</f>
        <v>5.2550100000000004</v>
      </c>
      <c r="T284" s="8">
        <f>Tabelle1[[#This Row],[corr_y]]/1000</f>
        <v>3.49485</v>
      </c>
      <c r="U284" s="8">
        <f>Tabelle1[[#This Row],[corr_z]]/1000</f>
        <v>3.35</v>
      </c>
      <c r="V284" s="8">
        <f>Tabelle1[[#This Row],[corr_soma_x]]/1000</f>
        <v>7.9266699999999997</v>
      </c>
      <c r="W284" s="8">
        <f>Tabelle1[[#This Row],[corr_soma_y]]/1000</f>
        <v>3.11233</v>
      </c>
      <c r="X284" s="8">
        <f>Tabelle1[[#This Row],[corr_soma_z]]/1000</f>
        <v>0.95</v>
      </c>
    </row>
    <row r="285" spans="1:24" x14ac:dyDescent="0.35">
      <c r="A285" s="7" t="s">
        <v>14</v>
      </c>
      <c r="B285" s="7" t="s">
        <v>19</v>
      </c>
      <c r="C285" s="6">
        <v>7</v>
      </c>
      <c r="D285" s="4">
        <v>5074.0200000000004</v>
      </c>
      <c r="E285" s="4">
        <v>4546.8599999999997</v>
      </c>
      <c r="F285" s="4">
        <v>3475</v>
      </c>
      <c r="G285" s="3">
        <v>7926.67</v>
      </c>
      <c r="H285" s="3">
        <v>3112.33</v>
      </c>
      <c r="I285" s="3">
        <v>950</v>
      </c>
      <c r="J285" s="4">
        <v>5074.0200000000004</v>
      </c>
      <c r="K285" s="4">
        <v>4546.8599999999997</v>
      </c>
      <c r="L285" s="4">
        <v>3475</v>
      </c>
      <c r="M285" s="3">
        <v>7926.67</v>
      </c>
      <c r="N285" s="3">
        <v>3112.33</v>
      </c>
      <c r="O285" s="3">
        <v>950</v>
      </c>
      <c r="P285" s="8">
        <v>0.14318</v>
      </c>
      <c r="Q285" s="8">
        <v>5.0292300000000001</v>
      </c>
      <c r="R285" s="8">
        <v>0.53337800000000002</v>
      </c>
      <c r="S285" s="8">
        <f>Tabelle1[[#This Row],[corr_x]]/1000</f>
        <v>5.0740200000000009</v>
      </c>
      <c r="T285" s="8">
        <f>Tabelle1[[#This Row],[corr_y]]/1000</f>
        <v>4.5468599999999997</v>
      </c>
      <c r="U285" s="8">
        <f>Tabelle1[[#This Row],[corr_z]]/1000</f>
        <v>3.4750000000000001</v>
      </c>
      <c r="V285" s="8">
        <f>Tabelle1[[#This Row],[corr_soma_x]]/1000</f>
        <v>7.9266699999999997</v>
      </c>
      <c r="W285" s="8">
        <f>Tabelle1[[#This Row],[corr_soma_y]]/1000</f>
        <v>3.11233</v>
      </c>
      <c r="X285" s="8">
        <f>Tabelle1[[#This Row],[corr_soma_z]]/1000</f>
        <v>0.95</v>
      </c>
    </row>
    <row r="286" spans="1:24" x14ac:dyDescent="0.35">
      <c r="A286" s="7" t="s">
        <v>14</v>
      </c>
      <c r="B286" s="7" t="s">
        <v>18</v>
      </c>
      <c r="C286" s="6">
        <v>12</v>
      </c>
      <c r="D286" s="4">
        <v>5485.81</v>
      </c>
      <c r="E286" s="4">
        <v>3851.24</v>
      </c>
      <c r="F286" s="4">
        <v>4050</v>
      </c>
      <c r="G286" s="3">
        <v>7926.67</v>
      </c>
      <c r="H286" s="3">
        <v>3112.33</v>
      </c>
      <c r="I286" s="3">
        <v>950</v>
      </c>
      <c r="J286" s="4">
        <v>5485.81</v>
      </c>
      <c r="K286" s="4">
        <v>3851.24</v>
      </c>
      <c r="L286" s="4">
        <v>4050</v>
      </c>
      <c r="M286" s="3">
        <v>7926.67</v>
      </c>
      <c r="N286" s="3">
        <v>3112.33</v>
      </c>
      <c r="O286" s="3">
        <v>950</v>
      </c>
      <c r="P286" s="8">
        <v>0.12881899999999999</v>
      </c>
      <c r="Q286" s="8">
        <v>4.2736099999999997</v>
      </c>
      <c r="R286" s="8">
        <v>0.32442799999999999</v>
      </c>
      <c r="S286" s="8">
        <f>Tabelle1[[#This Row],[corr_x]]/1000</f>
        <v>5.4858100000000007</v>
      </c>
      <c r="T286" s="8">
        <f>Tabelle1[[#This Row],[corr_y]]/1000</f>
        <v>3.8512399999999998</v>
      </c>
      <c r="U286" s="8">
        <f>Tabelle1[[#This Row],[corr_z]]/1000</f>
        <v>4.05</v>
      </c>
      <c r="V286" s="8">
        <f>Tabelle1[[#This Row],[corr_soma_x]]/1000</f>
        <v>7.9266699999999997</v>
      </c>
      <c r="W286" s="8">
        <f>Tabelle1[[#This Row],[corr_soma_y]]/1000</f>
        <v>3.11233</v>
      </c>
      <c r="X286" s="8">
        <f>Tabelle1[[#This Row],[corr_soma_z]]/1000</f>
        <v>0.95</v>
      </c>
    </row>
    <row r="287" spans="1:24" x14ac:dyDescent="0.35">
      <c r="A287" s="7" t="s">
        <v>14</v>
      </c>
      <c r="B287" s="7" t="s">
        <v>18</v>
      </c>
      <c r="C287" s="6">
        <v>13</v>
      </c>
      <c r="D287" s="4">
        <v>5900.96</v>
      </c>
      <c r="E287" s="4">
        <v>4110.6149999999998</v>
      </c>
      <c r="F287" s="4">
        <v>4575</v>
      </c>
      <c r="G287" s="3">
        <v>7926.67</v>
      </c>
      <c r="H287" s="3">
        <v>3112.33</v>
      </c>
      <c r="I287" s="3">
        <v>950</v>
      </c>
      <c r="J287" s="4">
        <v>5900.96</v>
      </c>
      <c r="K287" s="4">
        <v>4110.6149999999998</v>
      </c>
      <c r="L287" s="4">
        <v>4575</v>
      </c>
      <c r="M287" s="3">
        <v>7926.67</v>
      </c>
      <c r="N287" s="3">
        <v>3112.33</v>
      </c>
      <c r="O287" s="3">
        <v>950</v>
      </c>
      <c r="P287" s="8">
        <v>0.16091900000000001</v>
      </c>
      <c r="Q287" s="8">
        <v>2.4032</v>
      </c>
      <c r="R287" s="8">
        <v>0.17356099999999999</v>
      </c>
      <c r="S287" s="8">
        <f>Tabelle1[[#This Row],[corr_x]]/1000</f>
        <v>5.9009600000000004</v>
      </c>
      <c r="T287" s="8">
        <f>Tabelle1[[#This Row],[corr_y]]/1000</f>
        <v>4.1106150000000001</v>
      </c>
      <c r="U287" s="8">
        <f>Tabelle1[[#This Row],[corr_z]]/1000</f>
        <v>4.5750000000000002</v>
      </c>
      <c r="V287" s="8">
        <f>Tabelle1[[#This Row],[corr_soma_x]]/1000</f>
        <v>7.9266699999999997</v>
      </c>
      <c r="W287" s="8">
        <f>Tabelle1[[#This Row],[corr_soma_y]]/1000</f>
        <v>3.11233</v>
      </c>
      <c r="X287" s="8">
        <f>Tabelle1[[#This Row],[corr_soma_z]]/1000</f>
        <v>0.95</v>
      </c>
    </row>
    <row r="288" spans="1:24" x14ac:dyDescent="0.35">
      <c r="A288" s="7" t="s">
        <v>14</v>
      </c>
      <c r="B288" s="7" t="s">
        <v>18</v>
      </c>
      <c r="C288" s="6">
        <v>14</v>
      </c>
      <c r="D288" s="4">
        <v>5592.7049999999999</v>
      </c>
      <c r="E288" s="4">
        <v>4824.4750000000004</v>
      </c>
      <c r="F288" s="4">
        <v>4275</v>
      </c>
      <c r="G288" s="3">
        <v>7926.67</v>
      </c>
      <c r="H288" s="3">
        <v>3112.33</v>
      </c>
      <c r="I288" s="3">
        <v>950</v>
      </c>
      <c r="J288" s="4">
        <v>5592.7049999999999</v>
      </c>
      <c r="K288" s="4">
        <v>4824.4750000000004</v>
      </c>
      <c r="L288" s="4">
        <v>4275</v>
      </c>
      <c r="M288" s="3">
        <v>7926.67</v>
      </c>
      <c r="N288" s="3">
        <v>3112.33</v>
      </c>
      <c r="O288" s="3">
        <v>950</v>
      </c>
      <c r="P288" s="8">
        <v>8.4586899999999993E-2</v>
      </c>
      <c r="Q288" s="8">
        <v>4.35771</v>
      </c>
      <c r="R288" s="8">
        <v>0.286217</v>
      </c>
      <c r="S288" s="8">
        <f>Tabelle1[[#This Row],[corr_x]]/1000</f>
        <v>5.5927049999999996</v>
      </c>
      <c r="T288" s="8">
        <f>Tabelle1[[#This Row],[corr_y]]/1000</f>
        <v>4.8244750000000005</v>
      </c>
      <c r="U288" s="8">
        <f>Tabelle1[[#This Row],[corr_z]]/1000</f>
        <v>4.2750000000000004</v>
      </c>
      <c r="V288" s="8">
        <f>Tabelle1[[#This Row],[corr_soma_x]]/1000</f>
        <v>7.9266699999999997</v>
      </c>
      <c r="W288" s="8">
        <f>Tabelle1[[#This Row],[corr_soma_y]]/1000</f>
        <v>3.11233</v>
      </c>
      <c r="X288" s="8">
        <f>Tabelle1[[#This Row],[corr_soma_z]]/1000</f>
        <v>0.95</v>
      </c>
    </row>
    <row r="289" spans="1:24" x14ac:dyDescent="0.35">
      <c r="A289" s="7" t="s">
        <v>14</v>
      </c>
      <c r="B289" s="7" t="s">
        <v>18</v>
      </c>
      <c r="C289" s="6">
        <v>15</v>
      </c>
      <c r="D289" s="4">
        <v>5460.09</v>
      </c>
      <c r="E289" s="4">
        <v>4996.55</v>
      </c>
      <c r="F289" s="4">
        <v>5600</v>
      </c>
      <c r="G289" s="3">
        <v>7926.67</v>
      </c>
      <c r="H289" s="3">
        <v>3112.33</v>
      </c>
      <c r="I289" s="3">
        <v>950</v>
      </c>
      <c r="J289" s="4">
        <v>5460.09</v>
      </c>
      <c r="K289" s="4">
        <v>4996.55</v>
      </c>
      <c r="L289" s="4">
        <v>5600</v>
      </c>
      <c r="M289" s="3">
        <v>7926.67</v>
      </c>
      <c r="N289" s="3">
        <v>3112.33</v>
      </c>
      <c r="O289" s="3">
        <v>950</v>
      </c>
      <c r="P289" s="8">
        <v>0.14476800000000001</v>
      </c>
      <c r="Q289" s="8">
        <v>5.5636799999999997</v>
      </c>
      <c r="R289" s="8">
        <v>0.65573300000000001</v>
      </c>
      <c r="S289" s="8">
        <f>Tabelle1[[#This Row],[corr_x]]/1000</f>
        <v>5.4600900000000001</v>
      </c>
      <c r="T289" s="8">
        <f>Tabelle1[[#This Row],[corr_y]]/1000</f>
        <v>4.99655</v>
      </c>
      <c r="U289" s="8">
        <f>Tabelle1[[#This Row],[corr_z]]/1000</f>
        <v>5.6</v>
      </c>
      <c r="V289" s="8">
        <f>Tabelle1[[#This Row],[corr_soma_x]]/1000</f>
        <v>7.9266699999999997</v>
      </c>
      <c r="W289" s="8">
        <f>Tabelle1[[#This Row],[corr_soma_y]]/1000</f>
        <v>3.11233</v>
      </c>
      <c r="X289" s="8">
        <f>Tabelle1[[#This Row],[corr_soma_z]]/1000</f>
        <v>0.95</v>
      </c>
    </row>
    <row r="290" spans="1:24" x14ac:dyDescent="0.35">
      <c r="A290" s="7" t="s">
        <v>14</v>
      </c>
      <c r="B290" s="7" t="s">
        <v>18</v>
      </c>
      <c r="C290" s="6">
        <v>16</v>
      </c>
      <c r="D290" s="4">
        <v>5857.0949999999993</v>
      </c>
      <c r="E290" s="4">
        <v>4152.665</v>
      </c>
      <c r="F290" s="4">
        <v>5425</v>
      </c>
      <c r="G290" s="3">
        <v>7926.67</v>
      </c>
      <c r="H290" s="3">
        <v>3112.33</v>
      </c>
      <c r="I290" s="3">
        <v>950</v>
      </c>
      <c r="J290" s="4">
        <v>5857.0949999999993</v>
      </c>
      <c r="K290" s="4">
        <v>4152.665</v>
      </c>
      <c r="L290" s="4">
        <v>5425</v>
      </c>
      <c r="M290" s="3">
        <v>7926.67</v>
      </c>
      <c r="N290" s="3">
        <v>3112.33</v>
      </c>
      <c r="O290" s="3">
        <v>950</v>
      </c>
      <c r="P290" s="8">
        <v>7.9494600000000012E-2</v>
      </c>
      <c r="Q290" s="8">
        <v>1.64002</v>
      </c>
      <c r="R290" s="8">
        <v>0.14050399999999999</v>
      </c>
      <c r="S290" s="8">
        <f>Tabelle1[[#This Row],[corr_x]]/1000</f>
        <v>5.8570949999999993</v>
      </c>
      <c r="T290" s="8">
        <f>Tabelle1[[#This Row],[corr_y]]/1000</f>
        <v>4.1526649999999998</v>
      </c>
      <c r="U290" s="8">
        <f>Tabelle1[[#This Row],[corr_z]]/1000</f>
        <v>5.4249999999999998</v>
      </c>
      <c r="V290" s="8">
        <f>Tabelle1[[#This Row],[corr_soma_x]]/1000</f>
        <v>7.9266699999999997</v>
      </c>
      <c r="W290" s="8">
        <f>Tabelle1[[#This Row],[corr_soma_y]]/1000</f>
        <v>3.11233</v>
      </c>
      <c r="X290" s="8">
        <f>Tabelle1[[#This Row],[corr_soma_z]]/1000</f>
        <v>0.95</v>
      </c>
    </row>
    <row r="291" spans="1:24" x14ac:dyDescent="0.35">
      <c r="A291" s="7" t="s">
        <v>14</v>
      </c>
      <c r="B291" s="7" t="s">
        <v>19</v>
      </c>
      <c r="C291" s="6">
        <v>8</v>
      </c>
      <c r="D291" s="4">
        <v>5287.13</v>
      </c>
      <c r="E291" s="4">
        <v>4157.3900000000003</v>
      </c>
      <c r="F291" s="4">
        <v>5500</v>
      </c>
      <c r="G291" s="3">
        <v>7926.67</v>
      </c>
      <c r="H291" s="3">
        <v>3112.33</v>
      </c>
      <c r="I291" s="3">
        <v>950</v>
      </c>
      <c r="J291" s="4">
        <v>5287.13</v>
      </c>
      <c r="K291" s="4">
        <v>4157.3900000000003</v>
      </c>
      <c r="L291" s="4">
        <v>5500</v>
      </c>
      <c r="M291" s="3">
        <v>7926.67</v>
      </c>
      <c r="N291" s="3">
        <v>3112.33</v>
      </c>
      <c r="O291" s="3">
        <v>950</v>
      </c>
      <c r="P291" s="8">
        <v>5.7519399999999998E-2</v>
      </c>
      <c r="Q291" s="8">
        <v>5.1774699999999996</v>
      </c>
      <c r="R291" s="8">
        <v>0.445577</v>
      </c>
      <c r="S291" s="8">
        <f>Tabelle1[[#This Row],[corr_x]]/1000</f>
        <v>5.2871300000000003</v>
      </c>
      <c r="T291" s="8">
        <f>Tabelle1[[#This Row],[corr_y]]/1000</f>
        <v>4.1573900000000004</v>
      </c>
      <c r="U291" s="8">
        <f>Tabelle1[[#This Row],[corr_z]]/1000</f>
        <v>5.5</v>
      </c>
      <c r="V291" s="8">
        <f>Tabelle1[[#This Row],[corr_soma_x]]/1000</f>
        <v>7.9266699999999997</v>
      </c>
      <c r="W291" s="8">
        <f>Tabelle1[[#This Row],[corr_soma_y]]/1000</f>
        <v>3.11233</v>
      </c>
      <c r="X291" s="8">
        <f>Tabelle1[[#This Row],[corr_soma_z]]/1000</f>
        <v>0.95</v>
      </c>
    </row>
    <row r="292" spans="1:24" x14ac:dyDescent="0.35">
      <c r="A292" s="7" t="s">
        <v>14</v>
      </c>
      <c r="B292" s="7" t="s">
        <v>18</v>
      </c>
      <c r="C292" s="6">
        <v>17</v>
      </c>
      <c r="D292" s="4">
        <v>4968.1099999999997</v>
      </c>
      <c r="E292" s="4">
        <v>4820.87</v>
      </c>
      <c r="F292" s="4">
        <v>6900</v>
      </c>
      <c r="G292" s="3">
        <v>7926.67</v>
      </c>
      <c r="H292" s="3">
        <v>3112.33</v>
      </c>
      <c r="I292" s="3">
        <v>950</v>
      </c>
      <c r="J292" s="4">
        <v>4968.1099999999997</v>
      </c>
      <c r="K292" s="4">
        <v>4820.87</v>
      </c>
      <c r="L292" s="4">
        <v>6900</v>
      </c>
      <c r="M292" s="3">
        <v>7926.67</v>
      </c>
      <c r="N292" s="3">
        <v>3112.33</v>
      </c>
      <c r="O292" s="3">
        <v>950</v>
      </c>
      <c r="P292" s="8">
        <v>0.160908</v>
      </c>
      <c r="Q292" s="8">
        <v>2.27251</v>
      </c>
      <c r="R292" s="8">
        <v>0.155614</v>
      </c>
      <c r="S292" s="8">
        <f>Tabelle1[[#This Row],[corr_x]]/1000</f>
        <v>4.9681099999999994</v>
      </c>
      <c r="T292" s="8">
        <f>Tabelle1[[#This Row],[corr_y]]/1000</f>
        <v>4.8208700000000002</v>
      </c>
      <c r="U292" s="8">
        <f>Tabelle1[[#This Row],[corr_z]]/1000</f>
        <v>6.9</v>
      </c>
      <c r="V292" s="8">
        <f>Tabelle1[[#This Row],[corr_soma_x]]/1000</f>
        <v>7.9266699999999997</v>
      </c>
      <c r="W292" s="8">
        <f>Tabelle1[[#This Row],[corr_soma_y]]/1000</f>
        <v>3.11233</v>
      </c>
      <c r="X292" s="8">
        <f>Tabelle1[[#This Row],[corr_soma_z]]/1000</f>
        <v>0.95</v>
      </c>
    </row>
    <row r="293" spans="1:24" x14ac:dyDescent="0.35">
      <c r="A293" s="7" t="s">
        <v>14</v>
      </c>
      <c r="B293" s="7" t="s">
        <v>18</v>
      </c>
      <c r="C293" s="6">
        <v>18</v>
      </c>
      <c r="D293" s="4">
        <v>5120.5749999999998</v>
      </c>
      <c r="E293" s="4">
        <v>4478.875</v>
      </c>
      <c r="F293" s="4">
        <v>6675</v>
      </c>
      <c r="G293" s="3">
        <v>7926.67</v>
      </c>
      <c r="H293" s="3">
        <v>3112.33</v>
      </c>
      <c r="I293" s="3">
        <v>950</v>
      </c>
      <c r="J293" s="4">
        <v>5120.5749999999998</v>
      </c>
      <c r="K293" s="4">
        <v>4478.875</v>
      </c>
      <c r="L293" s="4">
        <v>6675</v>
      </c>
      <c r="M293" s="3">
        <v>7926.67</v>
      </c>
      <c r="N293" s="3">
        <v>3112.33</v>
      </c>
      <c r="O293" s="3">
        <v>950</v>
      </c>
      <c r="P293" s="8">
        <v>3.5014699999999996E-2</v>
      </c>
      <c r="Q293" s="8">
        <v>0.402391</v>
      </c>
      <c r="R293" s="8">
        <v>1.7154300000000001E-2</v>
      </c>
      <c r="S293" s="8">
        <f>Tabelle1[[#This Row],[corr_x]]/1000</f>
        <v>5.1205749999999997</v>
      </c>
      <c r="T293" s="8">
        <f>Tabelle1[[#This Row],[corr_y]]/1000</f>
        <v>4.4788750000000004</v>
      </c>
      <c r="U293" s="8">
        <f>Tabelle1[[#This Row],[corr_z]]/1000</f>
        <v>6.6749999999999998</v>
      </c>
      <c r="V293" s="8">
        <f>Tabelle1[[#This Row],[corr_soma_x]]/1000</f>
        <v>7.9266699999999997</v>
      </c>
      <c r="W293" s="8">
        <f>Tabelle1[[#This Row],[corr_soma_y]]/1000</f>
        <v>3.11233</v>
      </c>
      <c r="X293" s="8">
        <f>Tabelle1[[#This Row],[corr_soma_z]]/1000</f>
        <v>0.95</v>
      </c>
    </row>
    <row r="294" spans="1:24" x14ac:dyDescent="0.35">
      <c r="A294" s="7" t="s">
        <v>14</v>
      </c>
      <c r="B294" s="7" t="s">
        <v>18</v>
      </c>
      <c r="C294" s="6">
        <v>19</v>
      </c>
      <c r="D294" s="4">
        <v>5583.44</v>
      </c>
      <c r="E294" s="4">
        <v>4282.6899999999996</v>
      </c>
      <c r="F294" s="4">
        <v>7000</v>
      </c>
      <c r="G294" s="3">
        <v>7926.67</v>
      </c>
      <c r="H294" s="3">
        <v>3112.33</v>
      </c>
      <c r="I294" s="3">
        <v>950</v>
      </c>
      <c r="J294" s="4">
        <v>5583.44</v>
      </c>
      <c r="K294" s="4">
        <v>4282.6899999999996</v>
      </c>
      <c r="L294" s="4">
        <v>7000</v>
      </c>
      <c r="M294" s="3">
        <v>7926.67</v>
      </c>
      <c r="N294" s="3">
        <v>3112.33</v>
      </c>
      <c r="O294" s="3">
        <v>950</v>
      </c>
      <c r="P294" s="8">
        <v>0.13645099999999999</v>
      </c>
      <c r="Q294" s="8">
        <v>3.6525099999999999</v>
      </c>
      <c r="R294" s="8">
        <v>0.27519300000000002</v>
      </c>
      <c r="S294" s="8">
        <f>Tabelle1[[#This Row],[corr_x]]/1000</f>
        <v>5.5834399999999995</v>
      </c>
      <c r="T294" s="8">
        <f>Tabelle1[[#This Row],[corr_y]]/1000</f>
        <v>4.2826899999999997</v>
      </c>
      <c r="U294" s="8">
        <f>Tabelle1[[#This Row],[corr_z]]/1000</f>
        <v>7</v>
      </c>
      <c r="V294" s="8">
        <f>Tabelle1[[#This Row],[corr_soma_x]]/1000</f>
        <v>7.9266699999999997</v>
      </c>
      <c r="W294" s="8">
        <f>Tabelle1[[#This Row],[corr_soma_y]]/1000</f>
        <v>3.11233</v>
      </c>
      <c r="X294" s="8">
        <f>Tabelle1[[#This Row],[corr_soma_z]]/1000</f>
        <v>0.95</v>
      </c>
    </row>
    <row r="295" spans="1:24" x14ac:dyDescent="0.35">
      <c r="A295" s="7" t="s">
        <v>14</v>
      </c>
      <c r="B295" s="7" t="s">
        <v>19</v>
      </c>
      <c r="C295" s="6">
        <v>9</v>
      </c>
      <c r="D295" s="4">
        <v>5794.81</v>
      </c>
      <c r="E295" s="4">
        <v>4752.49</v>
      </c>
      <c r="F295" s="4">
        <v>6300</v>
      </c>
      <c r="G295" s="3">
        <v>7926.67</v>
      </c>
      <c r="H295" s="3">
        <v>3112.33</v>
      </c>
      <c r="I295" s="3">
        <v>950</v>
      </c>
      <c r="J295" s="4">
        <v>5794.81</v>
      </c>
      <c r="K295" s="4">
        <v>4752.49</v>
      </c>
      <c r="L295" s="4">
        <v>6300</v>
      </c>
      <c r="M295" s="3">
        <v>7926.67</v>
      </c>
      <c r="N295" s="3">
        <v>3112.33</v>
      </c>
      <c r="O295" s="3">
        <v>950</v>
      </c>
      <c r="P295" s="8">
        <v>4.4336E-2</v>
      </c>
      <c r="Q295" s="8">
        <v>3.8285399999999998</v>
      </c>
      <c r="R295" s="8">
        <v>0.24252599999999999</v>
      </c>
      <c r="S295" s="8">
        <f>Tabelle1[[#This Row],[corr_x]]/1000</f>
        <v>5.79481</v>
      </c>
      <c r="T295" s="8">
        <f>Tabelle1[[#This Row],[corr_y]]/1000</f>
        <v>4.7524899999999999</v>
      </c>
      <c r="U295" s="8">
        <f>Tabelle1[[#This Row],[corr_z]]/1000</f>
        <v>6.3</v>
      </c>
      <c r="V295" s="8">
        <f>Tabelle1[[#This Row],[corr_soma_x]]/1000</f>
        <v>7.9266699999999997</v>
      </c>
      <c r="W295" s="8">
        <f>Tabelle1[[#This Row],[corr_soma_y]]/1000</f>
        <v>3.11233</v>
      </c>
      <c r="X295" s="8">
        <f>Tabelle1[[#This Row],[corr_soma_z]]/1000</f>
        <v>0.95</v>
      </c>
    </row>
    <row r="296" spans="1:24" x14ac:dyDescent="0.35">
      <c r="A296" s="7" t="s">
        <v>14</v>
      </c>
      <c r="B296" s="7" t="s">
        <v>19</v>
      </c>
      <c r="C296" s="6">
        <v>10</v>
      </c>
      <c r="D296" s="4">
        <v>4922.97</v>
      </c>
      <c r="E296" s="4">
        <v>5143.43</v>
      </c>
      <c r="F296" s="4">
        <v>6650</v>
      </c>
      <c r="G296" s="3">
        <v>7926.67</v>
      </c>
      <c r="H296" s="3">
        <v>3112.33</v>
      </c>
      <c r="I296" s="3">
        <v>950</v>
      </c>
      <c r="J296" s="4">
        <v>4922.97</v>
      </c>
      <c r="K296" s="4">
        <v>5143.43</v>
      </c>
      <c r="L296" s="4">
        <v>6650</v>
      </c>
      <c r="M296" s="3">
        <v>7926.67</v>
      </c>
      <c r="N296" s="3">
        <v>3112.33</v>
      </c>
      <c r="O296" s="3">
        <v>950</v>
      </c>
      <c r="P296" s="8">
        <v>2.1254099999999998E-2</v>
      </c>
      <c r="Q296" s="8">
        <v>1.8061</v>
      </c>
      <c r="R296" s="8">
        <v>0.22250800000000001</v>
      </c>
      <c r="S296" s="8">
        <f>Tabelle1[[#This Row],[corr_x]]/1000</f>
        <v>4.9229700000000003</v>
      </c>
      <c r="T296" s="8">
        <f>Tabelle1[[#This Row],[corr_y]]/1000</f>
        <v>5.1434300000000004</v>
      </c>
      <c r="U296" s="8">
        <f>Tabelle1[[#This Row],[corr_z]]/1000</f>
        <v>6.65</v>
      </c>
      <c r="V296" s="8">
        <f>Tabelle1[[#This Row],[corr_soma_x]]/1000</f>
        <v>7.9266699999999997</v>
      </c>
      <c r="W296" s="8">
        <f>Tabelle1[[#This Row],[corr_soma_y]]/1000</f>
        <v>3.11233</v>
      </c>
      <c r="X296" s="8">
        <f>Tabelle1[[#This Row],[corr_soma_z]]/1000</f>
        <v>0.95</v>
      </c>
    </row>
    <row r="297" spans="1:24" x14ac:dyDescent="0.35">
      <c r="A297" s="7" t="s">
        <v>14</v>
      </c>
      <c r="B297" s="7" t="s">
        <v>18</v>
      </c>
      <c r="C297" s="6">
        <v>20</v>
      </c>
      <c r="D297" s="4">
        <v>5964.49</v>
      </c>
      <c r="E297" s="4">
        <v>5085.75</v>
      </c>
      <c r="F297" s="4">
        <v>6850</v>
      </c>
      <c r="G297" s="3">
        <v>7926.67</v>
      </c>
      <c r="H297" s="3">
        <v>3112.33</v>
      </c>
      <c r="I297" s="3">
        <v>950</v>
      </c>
      <c r="J297" s="4">
        <v>5964.49</v>
      </c>
      <c r="K297" s="4">
        <v>5085.75</v>
      </c>
      <c r="L297" s="4">
        <v>6850</v>
      </c>
      <c r="M297" s="3">
        <v>7926.67</v>
      </c>
      <c r="N297" s="3">
        <v>3112.33</v>
      </c>
      <c r="O297" s="3">
        <v>950</v>
      </c>
      <c r="P297" s="8">
        <v>5.3063100000000002E-2</v>
      </c>
      <c r="Q297" s="8">
        <v>1.4134100000000001</v>
      </c>
      <c r="R297" s="8">
        <v>9.0124700000000002E-2</v>
      </c>
      <c r="S297" s="8">
        <f>Tabelle1[[#This Row],[corr_x]]/1000</f>
        <v>5.9644899999999996</v>
      </c>
      <c r="T297" s="8">
        <f>Tabelle1[[#This Row],[corr_y]]/1000</f>
        <v>5.08575</v>
      </c>
      <c r="U297" s="8">
        <f>Tabelle1[[#This Row],[corr_z]]/1000</f>
        <v>6.85</v>
      </c>
      <c r="V297" s="8">
        <f>Tabelle1[[#This Row],[corr_soma_x]]/1000</f>
        <v>7.9266699999999997</v>
      </c>
      <c r="W297" s="8">
        <f>Tabelle1[[#This Row],[corr_soma_y]]/1000</f>
        <v>3.11233</v>
      </c>
      <c r="X297" s="8">
        <f>Tabelle1[[#This Row],[corr_soma_z]]/1000</f>
        <v>0.95</v>
      </c>
    </row>
    <row r="298" spans="1:24" x14ac:dyDescent="0.35">
      <c r="A298" s="7" t="s">
        <v>14</v>
      </c>
      <c r="B298" s="7" t="s">
        <v>18</v>
      </c>
      <c r="C298" s="6">
        <v>21</v>
      </c>
      <c r="D298" s="4">
        <v>4953.3100000000004</v>
      </c>
      <c r="E298" s="4">
        <v>4638.1899999999996</v>
      </c>
      <c r="F298" s="4">
        <v>7600</v>
      </c>
      <c r="G298" s="3">
        <v>7926.67</v>
      </c>
      <c r="H298" s="3">
        <v>3112.33</v>
      </c>
      <c r="I298" s="3">
        <v>950</v>
      </c>
      <c r="J298" s="4">
        <v>4953.3100000000004</v>
      </c>
      <c r="K298" s="4">
        <v>4638.1899999999996</v>
      </c>
      <c r="L298" s="4">
        <v>7600</v>
      </c>
      <c r="M298" s="3">
        <v>7926.67</v>
      </c>
      <c r="N298" s="3">
        <v>3112.33</v>
      </c>
      <c r="O298" s="3">
        <v>950</v>
      </c>
      <c r="P298" s="8">
        <v>0.196939</v>
      </c>
      <c r="Q298" s="8">
        <v>3.0487199999999999</v>
      </c>
      <c r="R298" s="8">
        <v>0.35433300000000001</v>
      </c>
      <c r="S298" s="8">
        <f>Tabelle1[[#This Row],[corr_x]]/1000</f>
        <v>4.9533100000000001</v>
      </c>
      <c r="T298" s="8">
        <f>Tabelle1[[#This Row],[corr_y]]/1000</f>
        <v>4.6381899999999998</v>
      </c>
      <c r="U298" s="8">
        <f>Tabelle1[[#This Row],[corr_z]]/1000</f>
        <v>7.6</v>
      </c>
      <c r="V298" s="8">
        <f>Tabelle1[[#This Row],[corr_soma_x]]/1000</f>
        <v>7.9266699999999997</v>
      </c>
      <c r="W298" s="8">
        <f>Tabelle1[[#This Row],[corr_soma_y]]/1000</f>
        <v>3.11233</v>
      </c>
      <c r="X298" s="8">
        <f>Tabelle1[[#This Row],[corr_soma_z]]/1000</f>
        <v>0.95</v>
      </c>
    </row>
    <row r="299" spans="1:24" x14ac:dyDescent="0.35">
      <c r="A299" s="7" t="s">
        <v>14</v>
      </c>
      <c r="B299" s="7" t="s">
        <v>18</v>
      </c>
      <c r="C299" s="6">
        <v>22</v>
      </c>
      <c r="D299" s="4">
        <v>5976.27</v>
      </c>
      <c r="E299" s="4">
        <v>4587.62</v>
      </c>
      <c r="F299" s="4">
        <v>7600</v>
      </c>
      <c r="G299" s="3">
        <v>7926.67</v>
      </c>
      <c r="H299" s="3">
        <v>3112.33</v>
      </c>
      <c r="I299" s="3">
        <v>950</v>
      </c>
      <c r="J299" s="4">
        <v>5976.27</v>
      </c>
      <c r="K299" s="4">
        <v>4587.62</v>
      </c>
      <c r="L299" s="4">
        <v>7600</v>
      </c>
      <c r="M299" s="3">
        <v>7926.67</v>
      </c>
      <c r="N299" s="3">
        <v>3112.33</v>
      </c>
      <c r="O299" s="3">
        <v>950</v>
      </c>
      <c r="P299" s="8">
        <v>3.2977800000000002E-2</v>
      </c>
      <c r="Q299" s="8">
        <v>1.89592</v>
      </c>
      <c r="R299" s="8">
        <v>0.13914499999999999</v>
      </c>
      <c r="S299" s="8">
        <f>Tabelle1[[#This Row],[corr_x]]/1000</f>
        <v>5.9762700000000004</v>
      </c>
      <c r="T299" s="8">
        <f>Tabelle1[[#This Row],[corr_y]]/1000</f>
        <v>4.5876200000000003</v>
      </c>
      <c r="U299" s="8">
        <f>Tabelle1[[#This Row],[corr_z]]/1000</f>
        <v>7.6</v>
      </c>
      <c r="V299" s="8">
        <f>Tabelle1[[#This Row],[corr_soma_x]]/1000</f>
        <v>7.9266699999999997</v>
      </c>
      <c r="W299" s="8">
        <f>Tabelle1[[#This Row],[corr_soma_y]]/1000</f>
        <v>3.11233</v>
      </c>
      <c r="X299" s="8">
        <f>Tabelle1[[#This Row],[corr_soma_z]]/1000</f>
        <v>0.95</v>
      </c>
    </row>
    <row r="300" spans="1:24" x14ac:dyDescent="0.35">
      <c r="A300" s="7" t="s">
        <v>14</v>
      </c>
      <c r="B300" s="7" t="s">
        <v>18</v>
      </c>
      <c r="C300" s="6">
        <v>23</v>
      </c>
      <c r="D300" s="4">
        <v>5968.1</v>
      </c>
      <c r="E300" s="4">
        <v>5030.7049999999999</v>
      </c>
      <c r="F300" s="4">
        <v>7675</v>
      </c>
      <c r="G300" s="3">
        <v>7926.67</v>
      </c>
      <c r="H300" s="3">
        <v>3112.33</v>
      </c>
      <c r="I300" s="3">
        <v>950</v>
      </c>
      <c r="J300" s="4">
        <v>5968.1</v>
      </c>
      <c r="K300" s="4">
        <v>5030.7049999999999</v>
      </c>
      <c r="L300" s="4">
        <v>7675</v>
      </c>
      <c r="M300" s="3">
        <v>7926.67</v>
      </c>
      <c r="N300" s="3">
        <v>3112.33</v>
      </c>
      <c r="O300" s="3">
        <v>950</v>
      </c>
      <c r="P300" s="8">
        <v>3.3968499999999999E-2</v>
      </c>
      <c r="Q300" s="8">
        <v>2.3171400000000002</v>
      </c>
      <c r="R300" s="8">
        <v>0.117357</v>
      </c>
      <c r="S300" s="8">
        <f>Tabelle1[[#This Row],[corr_x]]/1000</f>
        <v>5.9681000000000006</v>
      </c>
      <c r="T300" s="8">
        <f>Tabelle1[[#This Row],[corr_y]]/1000</f>
        <v>5.0307050000000002</v>
      </c>
      <c r="U300" s="8">
        <f>Tabelle1[[#This Row],[corr_z]]/1000</f>
        <v>7.6749999999999998</v>
      </c>
      <c r="V300" s="8">
        <f>Tabelle1[[#This Row],[corr_soma_x]]/1000</f>
        <v>7.9266699999999997</v>
      </c>
      <c r="W300" s="8">
        <f>Tabelle1[[#This Row],[corr_soma_y]]/1000</f>
        <v>3.11233</v>
      </c>
      <c r="X300" s="8">
        <f>Tabelle1[[#This Row],[corr_soma_z]]/1000</f>
        <v>0.95</v>
      </c>
    </row>
    <row r="301" spans="1:24" x14ac:dyDescent="0.35">
      <c r="A301" s="7" t="s">
        <v>14</v>
      </c>
      <c r="B301" s="7" t="s">
        <v>19</v>
      </c>
      <c r="C301" s="6">
        <v>11</v>
      </c>
      <c r="D301" s="4">
        <v>4778.2150000000001</v>
      </c>
      <c r="E301" s="4">
        <v>5221.9750000000004</v>
      </c>
      <c r="F301" s="4">
        <v>7875</v>
      </c>
      <c r="G301" s="3">
        <v>7926.67</v>
      </c>
      <c r="H301" s="3">
        <v>3112.33</v>
      </c>
      <c r="I301" s="3">
        <v>950</v>
      </c>
      <c r="J301" s="4">
        <v>4778.2150000000001</v>
      </c>
      <c r="K301" s="4">
        <v>5221.9750000000004</v>
      </c>
      <c r="L301" s="4">
        <v>7875</v>
      </c>
      <c r="M301" s="3">
        <v>7926.67</v>
      </c>
      <c r="N301" s="3">
        <v>3112.33</v>
      </c>
      <c r="O301" s="3">
        <v>950</v>
      </c>
      <c r="P301" s="8">
        <v>0.144233</v>
      </c>
      <c r="Q301" s="8">
        <v>2.3035999999999999</v>
      </c>
      <c r="R301" s="8">
        <v>0.19805300000000001</v>
      </c>
      <c r="S301" s="8">
        <f>Tabelle1[[#This Row],[corr_x]]/1000</f>
        <v>4.7782150000000003</v>
      </c>
      <c r="T301" s="8">
        <f>Tabelle1[[#This Row],[corr_y]]/1000</f>
        <v>5.2219750000000005</v>
      </c>
      <c r="U301" s="8">
        <f>Tabelle1[[#This Row],[corr_z]]/1000</f>
        <v>7.875</v>
      </c>
      <c r="V301" s="8">
        <f>Tabelle1[[#This Row],[corr_soma_x]]/1000</f>
        <v>7.9266699999999997</v>
      </c>
      <c r="W301" s="8">
        <f>Tabelle1[[#This Row],[corr_soma_y]]/1000</f>
        <v>3.11233</v>
      </c>
      <c r="X301" s="8">
        <f>Tabelle1[[#This Row],[corr_soma_z]]/1000</f>
        <v>0.95</v>
      </c>
    </row>
    <row r="302" spans="1:24" x14ac:dyDescent="0.35">
      <c r="A302" s="7" t="s">
        <v>14</v>
      </c>
      <c r="B302" s="7" t="s">
        <v>19</v>
      </c>
      <c r="C302" s="6">
        <v>12</v>
      </c>
      <c r="D302" s="4">
        <v>4237.2449999999999</v>
      </c>
      <c r="E302" s="4">
        <v>5110.5450000000001</v>
      </c>
      <c r="F302" s="4">
        <v>8125</v>
      </c>
      <c r="G302" s="3">
        <v>7926.67</v>
      </c>
      <c r="H302" s="3">
        <v>3112.33</v>
      </c>
      <c r="I302" s="3">
        <v>950</v>
      </c>
      <c r="J302" s="4">
        <v>4237.2449999999999</v>
      </c>
      <c r="K302" s="4">
        <v>5110.5450000000001</v>
      </c>
      <c r="L302" s="4">
        <v>8125</v>
      </c>
      <c r="M302" s="3">
        <v>7926.67</v>
      </c>
      <c r="N302" s="3">
        <v>3112.33</v>
      </c>
      <c r="O302" s="3">
        <v>950</v>
      </c>
      <c r="P302" s="8">
        <v>9.9146899999999996E-2</v>
      </c>
      <c r="Q302" s="8">
        <v>2.4941900000000001</v>
      </c>
      <c r="R302" s="8">
        <v>0.185534</v>
      </c>
      <c r="S302" s="8">
        <f>Tabelle1[[#This Row],[corr_x]]/1000</f>
        <v>4.2372449999999997</v>
      </c>
      <c r="T302" s="8">
        <f>Tabelle1[[#This Row],[corr_y]]/1000</f>
        <v>5.1105450000000001</v>
      </c>
      <c r="U302" s="8">
        <f>Tabelle1[[#This Row],[corr_z]]/1000</f>
        <v>8.125</v>
      </c>
      <c r="V302" s="8">
        <f>Tabelle1[[#This Row],[corr_soma_x]]/1000</f>
        <v>7.9266699999999997</v>
      </c>
      <c r="W302" s="8">
        <f>Tabelle1[[#This Row],[corr_soma_y]]/1000</f>
        <v>3.11233</v>
      </c>
      <c r="X302" s="8">
        <f>Tabelle1[[#This Row],[corr_soma_z]]/1000</f>
        <v>0.95</v>
      </c>
    </row>
    <row r="303" spans="1:24" x14ac:dyDescent="0.35">
      <c r="A303" s="7" t="s">
        <v>14</v>
      </c>
      <c r="B303" s="7" t="s">
        <v>18</v>
      </c>
      <c r="C303" s="6">
        <v>24</v>
      </c>
      <c r="D303" s="4">
        <v>4148.3599999999997</v>
      </c>
      <c r="E303" s="4">
        <v>5384.69</v>
      </c>
      <c r="F303" s="4">
        <v>8150</v>
      </c>
      <c r="G303" s="3">
        <v>7926.67</v>
      </c>
      <c r="H303" s="3">
        <v>3112.33</v>
      </c>
      <c r="I303" s="3">
        <v>950</v>
      </c>
      <c r="J303" s="4">
        <v>4148.3599999999997</v>
      </c>
      <c r="K303" s="4">
        <v>5384.69</v>
      </c>
      <c r="L303" s="4">
        <v>8150</v>
      </c>
      <c r="M303" s="3">
        <v>7926.67</v>
      </c>
      <c r="N303" s="3">
        <v>3112.33</v>
      </c>
      <c r="O303" s="3">
        <v>950</v>
      </c>
      <c r="P303" s="8">
        <v>2.5160099999999998E-2</v>
      </c>
      <c r="Q303" s="8">
        <v>1.3041400000000001</v>
      </c>
      <c r="R303" s="8">
        <v>0.108431</v>
      </c>
      <c r="S303" s="8">
        <f>Tabelle1[[#This Row],[corr_x]]/1000</f>
        <v>4.1483599999999994</v>
      </c>
      <c r="T303" s="8">
        <f>Tabelle1[[#This Row],[corr_y]]/1000</f>
        <v>5.38469</v>
      </c>
      <c r="U303" s="8">
        <f>Tabelle1[[#This Row],[corr_z]]/1000</f>
        <v>8.15</v>
      </c>
      <c r="V303" s="8">
        <f>Tabelle1[[#This Row],[corr_soma_x]]/1000</f>
        <v>7.9266699999999997</v>
      </c>
      <c r="W303" s="8">
        <f>Tabelle1[[#This Row],[corr_soma_y]]/1000</f>
        <v>3.11233</v>
      </c>
      <c r="X303" s="8">
        <f>Tabelle1[[#This Row],[corr_soma_z]]/1000</f>
        <v>0.95</v>
      </c>
    </row>
    <row r="304" spans="1:24" x14ac:dyDescent="0.35">
      <c r="A304" s="7" t="s">
        <v>14</v>
      </c>
      <c r="B304" s="7" t="s">
        <v>18</v>
      </c>
      <c r="C304" s="6">
        <v>25</v>
      </c>
      <c r="D304" s="4">
        <v>4389.26</v>
      </c>
      <c r="E304" s="4">
        <v>5804.2</v>
      </c>
      <c r="F304" s="4">
        <v>8100</v>
      </c>
      <c r="G304" s="3">
        <v>7926.67</v>
      </c>
      <c r="H304" s="3">
        <v>3112.33</v>
      </c>
      <c r="I304" s="3">
        <v>950</v>
      </c>
      <c r="J304" s="4">
        <v>4389.26</v>
      </c>
      <c r="K304" s="4">
        <v>5804.2</v>
      </c>
      <c r="L304" s="4">
        <v>8100</v>
      </c>
      <c r="M304" s="3">
        <v>7926.67</v>
      </c>
      <c r="N304" s="3">
        <v>3112.33</v>
      </c>
      <c r="O304" s="3">
        <v>950</v>
      </c>
      <c r="P304" s="8">
        <v>2.9122700000000001E-2</v>
      </c>
      <c r="Q304" s="8">
        <v>1.1160600000000001</v>
      </c>
      <c r="R304" s="8">
        <v>6.4316799999999993E-2</v>
      </c>
      <c r="S304" s="8">
        <f>Tabelle1[[#This Row],[corr_x]]/1000</f>
        <v>4.3892600000000002</v>
      </c>
      <c r="T304" s="8">
        <f>Tabelle1[[#This Row],[corr_y]]/1000</f>
        <v>5.8041999999999998</v>
      </c>
      <c r="U304" s="8">
        <f>Tabelle1[[#This Row],[corr_z]]/1000</f>
        <v>8.1</v>
      </c>
      <c r="V304" s="8">
        <f>Tabelle1[[#This Row],[corr_soma_x]]/1000</f>
        <v>7.9266699999999997</v>
      </c>
      <c r="W304" s="8">
        <f>Tabelle1[[#This Row],[corr_soma_y]]/1000</f>
        <v>3.11233</v>
      </c>
      <c r="X304" s="8">
        <f>Tabelle1[[#This Row],[corr_soma_z]]/1000</f>
        <v>0.95</v>
      </c>
    </row>
    <row r="305" spans="1:24" x14ac:dyDescent="0.35">
      <c r="A305" s="7" t="s">
        <v>14</v>
      </c>
      <c r="B305" s="7" t="s">
        <v>19</v>
      </c>
      <c r="C305" s="6">
        <v>13</v>
      </c>
      <c r="D305" s="4">
        <v>5615.02</v>
      </c>
      <c r="E305" s="4">
        <v>4578.68</v>
      </c>
      <c r="F305" s="4">
        <v>8850</v>
      </c>
      <c r="G305" s="3">
        <v>7926.67</v>
      </c>
      <c r="H305" s="3">
        <v>3112.33</v>
      </c>
      <c r="I305" s="3">
        <v>950</v>
      </c>
      <c r="J305" s="4">
        <v>5615.02</v>
      </c>
      <c r="K305" s="4">
        <v>4578.68</v>
      </c>
      <c r="L305" s="4">
        <v>8850</v>
      </c>
      <c r="M305" s="3">
        <v>7926.67</v>
      </c>
      <c r="N305" s="3">
        <v>3112.33</v>
      </c>
      <c r="O305" s="3">
        <v>950</v>
      </c>
      <c r="P305" s="8">
        <v>4.4373199999999995E-2</v>
      </c>
      <c r="Q305" s="8">
        <v>3.0275599999999998</v>
      </c>
      <c r="R305" s="8">
        <v>0.38955000000000001</v>
      </c>
      <c r="S305" s="8">
        <f>Tabelle1[[#This Row],[corr_x]]/1000</f>
        <v>5.6150200000000003</v>
      </c>
      <c r="T305" s="8">
        <f>Tabelle1[[#This Row],[corr_y]]/1000</f>
        <v>4.5786800000000003</v>
      </c>
      <c r="U305" s="8">
        <f>Tabelle1[[#This Row],[corr_z]]/1000</f>
        <v>8.85</v>
      </c>
      <c r="V305" s="8">
        <f>Tabelle1[[#This Row],[corr_soma_x]]/1000</f>
        <v>7.9266699999999997</v>
      </c>
      <c r="W305" s="8">
        <f>Tabelle1[[#This Row],[corr_soma_y]]/1000</f>
        <v>3.11233</v>
      </c>
      <c r="X305" s="8">
        <f>Tabelle1[[#This Row],[corr_soma_z]]/1000</f>
        <v>0.95</v>
      </c>
    </row>
    <row r="306" spans="1:24" x14ac:dyDescent="0.35">
      <c r="A306" s="7" t="s">
        <v>14</v>
      </c>
      <c r="B306" s="7" t="s">
        <v>18</v>
      </c>
      <c r="C306" s="6">
        <v>26</v>
      </c>
      <c r="D306" s="4">
        <v>4930.13</v>
      </c>
      <c r="E306" s="4">
        <v>4931.8899999999994</v>
      </c>
      <c r="F306" s="4">
        <v>8825</v>
      </c>
      <c r="G306" s="3">
        <v>7926.67</v>
      </c>
      <c r="H306" s="3">
        <v>3112.33</v>
      </c>
      <c r="I306" s="3">
        <v>950</v>
      </c>
      <c r="J306" s="4">
        <v>4930.13</v>
      </c>
      <c r="K306" s="4">
        <v>4931.8899999999994</v>
      </c>
      <c r="L306" s="4">
        <v>8825</v>
      </c>
      <c r="M306" s="3">
        <v>7926.67</v>
      </c>
      <c r="N306" s="3">
        <v>3112.33</v>
      </c>
      <c r="O306" s="3">
        <v>950</v>
      </c>
      <c r="P306" s="8">
        <v>4.5899199999999994E-2</v>
      </c>
      <c r="Q306" s="8">
        <v>1.33829</v>
      </c>
      <c r="R306" s="8">
        <v>9.3673900000000004E-2</v>
      </c>
      <c r="S306" s="8">
        <f>Tabelle1[[#This Row],[corr_x]]/1000</f>
        <v>4.9301300000000001</v>
      </c>
      <c r="T306" s="8">
        <f>Tabelle1[[#This Row],[corr_y]]/1000</f>
        <v>4.9318899999999992</v>
      </c>
      <c r="U306" s="8">
        <f>Tabelle1[[#This Row],[corr_z]]/1000</f>
        <v>8.8249999999999993</v>
      </c>
      <c r="V306" s="8">
        <f>Tabelle1[[#This Row],[corr_soma_x]]/1000</f>
        <v>7.9266699999999997</v>
      </c>
      <c r="W306" s="8">
        <f>Tabelle1[[#This Row],[corr_soma_y]]/1000</f>
        <v>3.11233</v>
      </c>
      <c r="X306" s="8">
        <f>Tabelle1[[#This Row],[corr_soma_z]]/1000</f>
        <v>0.95</v>
      </c>
    </row>
    <row r="307" spans="1:24" x14ac:dyDescent="0.35">
      <c r="A307" s="7" t="s">
        <v>14</v>
      </c>
      <c r="B307" s="7" t="s">
        <v>19</v>
      </c>
      <c r="C307" s="6">
        <v>14</v>
      </c>
      <c r="D307" s="4">
        <v>3931.22</v>
      </c>
      <c r="E307" s="4">
        <v>5457.19</v>
      </c>
      <c r="F307" s="4">
        <v>9150</v>
      </c>
      <c r="G307" s="3">
        <v>7926.67</v>
      </c>
      <c r="H307" s="3">
        <v>3112.33</v>
      </c>
      <c r="I307" s="3">
        <v>950</v>
      </c>
      <c r="J307" s="4">
        <v>3931.22</v>
      </c>
      <c r="K307" s="4">
        <v>5457.19</v>
      </c>
      <c r="L307" s="4">
        <v>9150</v>
      </c>
      <c r="M307" s="3">
        <v>7926.67</v>
      </c>
      <c r="N307" s="3">
        <v>3112.33</v>
      </c>
      <c r="O307" s="3">
        <v>950</v>
      </c>
      <c r="P307" s="8">
        <v>2.4056500000000001E-2</v>
      </c>
      <c r="Q307" s="8">
        <v>7.9435799999999999</v>
      </c>
      <c r="R307" s="8">
        <v>0.72752300000000003</v>
      </c>
      <c r="S307" s="8">
        <f>Tabelle1[[#This Row],[corr_x]]/1000</f>
        <v>3.9312199999999997</v>
      </c>
      <c r="T307" s="8">
        <f>Tabelle1[[#This Row],[corr_y]]/1000</f>
        <v>5.4571899999999998</v>
      </c>
      <c r="U307" s="8">
        <f>Tabelle1[[#This Row],[corr_z]]/1000</f>
        <v>9.15</v>
      </c>
      <c r="V307" s="8">
        <f>Tabelle1[[#This Row],[corr_soma_x]]/1000</f>
        <v>7.9266699999999997</v>
      </c>
      <c r="W307" s="8">
        <f>Tabelle1[[#This Row],[corr_soma_y]]/1000</f>
        <v>3.11233</v>
      </c>
      <c r="X307" s="8">
        <f>Tabelle1[[#This Row],[corr_soma_z]]/1000</f>
        <v>0.95</v>
      </c>
    </row>
    <row r="308" spans="1:24" x14ac:dyDescent="0.35">
      <c r="A308" s="7" t="s">
        <v>14</v>
      </c>
      <c r="B308" s="7" t="s">
        <v>19</v>
      </c>
      <c r="C308" s="6">
        <v>15</v>
      </c>
      <c r="D308" s="4">
        <v>3987.07</v>
      </c>
      <c r="E308" s="4">
        <v>5245.34</v>
      </c>
      <c r="F308" s="4">
        <v>8600</v>
      </c>
      <c r="G308" s="3">
        <v>7926.67</v>
      </c>
      <c r="H308" s="3">
        <v>3112.33</v>
      </c>
      <c r="I308" s="3">
        <v>950</v>
      </c>
      <c r="J308" s="4">
        <v>3987.07</v>
      </c>
      <c r="K308" s="4">
        <v>5245.34</v>
      </c>
      <c r="L308" s="4">
        <v>8600</v>
      </c>
      <c r="M308" s="3">
        <v>7926.67</v>
      </c>
      <c r="N308" s="3">
        <v>3112.33</v>
      </c>
      <c r="O308" s="3">
        <v>950</v>
      </c>
      <c r="P308" s="8">
        <v>3.8597099999999995E-2</v>
      </c>
      <c r="Q308" s="8">
        <v>3.6108799999999999</v>
      </c>
      <c r="R308" s="8">
        <v>0.41358800000000001</v>
      </c>
      <c r="S308" s="8">
        <f>Tabelle1[[#This Row],[corr_x]]/1000</f>
        <v>3.9870700000000001</v>
      </c>
      <c r="T308" s="8">
        <f>Tabelle1[[#This Row],[corr_y]]/1000</f>
        <v>5.2453400000000006</v>
      </c>
      <c r="U308" s="8">
        <f>Tabelle1[[#This Row],[corr_z]]/1000</f>
        <v>8.6</v>
      </c>
      <c r="V308" s="8">
        <f>Tabelle1[[#This Row],[corr_soma_x]]/1000</f>
        <v>7.9266699999999997</v>
      </c>
      <c r="W308" s="8">
        <f>Tabelle1[[#This Row],[corr_soma_y]]/1000</f>
        <v>3.11233</v>
      </c>
      <c r="X308" s="8">
        <f>Tabelle1[[#This Row],[corr_soma_z]]/1000</f>
        <v>0.95</v>
      </c>
    </row>
    <row r="309" spans="1:24" x14ac:dyDescent="0.35">
      <c r="A309" s="7" t="s">
        <v>14</v>
      </c>
      <c r="B309" s="7" t="s">
        <v>19</v>
      </c>
      <c r="C309" s="6">
        <v>16</v>
      </c>
      <c r="D309" s="4">
        <v>5105.3500000000004</v>
      </c>
      <c r="E309" s="4">
        <v>4592.7</v>
      </c>
      <c r="F309" s="4">
        <v>9150</v>
      </c>
      <c r="G309" s="3">
        <v>7926.67</v>
      </c>
      <c r="H309" s="3">
        <v>3112.33</v>
      </c>
      <c r="I309" s="3">
        <v>950</v>
      </c>
      <c r="J309" s="4">
        <v>5105.3500000000004</v>
      </c>
      <c r="K309" s="4">
        <v>4592.7</v>
      </c>
      <c r="L309" s="4">
        <v>9150</v>
      </c>
      <c r="M309" s="3">
        <v>7926.67</v>
      </c>
      <c r="N309" s="3">
        <v>3112.33</v>
      </c>
      <c r="O309" s="3">
        <v>950</v>
      </c>
      <c r="P309" s="8">
        <v>2.2026199999999999E-2</v>
      </c>
      <c r="Q309" s="8">
        <v>2.0106299999999999</v>
      </c>
      <c r="R309" s="8">
        <v>0.18393999999999999</v>
      </c>
      <c r="S309" s="8">
        <f>Tabelle1[[#This Row],[corr_x]]/1000</f>
        <v>5.1053500000000005</v>
      </c>
      <c r="T309" s="8">
        <f>Tabelle1[[#This Row],[corr_y]]/1000</f>
        <v>4.5926999999999998</v>
      </c>
      <c r="U309" s="8">
        <f>Tabelle1[[#This Row],[corr_z]]/1000</f>
        <v>9.15</v>
      </c>
      <c r="V309" s="8">
        <f>Tabelle1[[#This Row],[corr_soma_x]]/1000</f>
        <v>7.9266699999999997</v>
      </c>
      <c r="W309" s="8">
        <f>Tabelle1[[#This Row],[corr_soma_y]]/1000</f>
        <v>3.11233</v>
      </c>
      <c r="X309" s="8">
        <f>Tabelle1[[#This Row],[corr_soma_z]]/1000</f>
        <v>0.95</v>
      </c>
    </row>
    <row r="310" spans="1:24" x14ac:dyDescent="0.35">
      <c r="A310" s="7" t="s">
        <v>14</v>
      </c>
      <c r="B310" s="7" t="s">
        <v>18</v>
      </c>
      <c r="C310" s="6">
        <v>27</v>
      </c>
      <c r="D310" s="4">
        <v>4053.02</v>
      </c>
      <c r="E310" s="4">
        <v>5745.76</v>
      </c>
      <c r="F310" s="4">
        <v>9000</v>
      </c>
      <c r="G310" s="3">
        <v>7926.67</v>
      </c>
      <c r="H310" s="3">
        <v>3112.33</v>
      </c>
      <c r="I310" s="3">
        <v>950</v>
      </c>
      <c r="J310" s="4">
        <v>4053.02</v>
      </c>
      <c r="K310" s="4">
        <v>5745.76</v>
      </c>
      <c r="L310" s="4">
        <v>9000</v>
      </c>
      <c r="M310" s="3">
        <v>7926.67</v>
      </c>
      <c r="N310" s="3">
        <v>3112.33</v>
      </c>
      <c r="O310" s="3">
        <v>950</v>
      </c>
      <c r="P310" s="8">
        <v>3.2628299999999999E-2</v>
      </c>
      <c r="Q310" s="8">
        <v>2.7031100000000001</v>
      </c>
      <c r="R310" s="8">
        <v>0.206621</v>
      </c>
      <c r="S310" s="8">
        <f>Tabelle1[[#This Row],[corr_x]]/1000</f>
        <v>4.0530200000000001</v>
      </c>
      <c r="T310" s="8">
        <f>Tabelle1[[#This Row],[corr_y]]/1000</f>
        <v>5.7457600000000006</v>
      </c>
      <c r="U310" s="8">
        <f>Tabelle1[[#This Row],[corr_z]]/1000</f>
        <v>9</v>
      </c>
      <c r="V310" s="8">
        <f>Tabelle1[[#This Row],[corr_soma_x]]/1000</f>
        <v>7.9266699999999997</v>
      </c>
      <c r="W310" s="8">
        <f>Tabelle1[[#This Row],[corr_soma_y]]/1000</f>
        <v>3.11233</v>
      </c>
      <c r="X310" s="8">
        <f>Tabelle1[[#This Row],[corr_soma_z]]/1000</f>
        <v>0.95</v>
      </c>
    </row>
    <row r="311" spans="1:24" x14ac:dyDescent="0.35">
      <c r="A311" s="7" t="s">
        <v>14</v>
      </c>
      <c r="B311" s="7" t="s">
        <v>19</v>
      </c>
      <c r="C311" s="6">
        <v>17</v>
      </c>
      <c r="D311" s="4">
        <v>3389.3</v>
      </c>
      <c r="E311" s="4">
        <v>5815.27</v>
      </c>
      <c r="F311" s="4">
        <v>9050</v>
      </c>
      <c r="G311" s="3">
        <v>7926.67</v>
      </c>
      <c r="H311" s="3">
        <v>3112.33</v>
      </c>
      <c r="I311" s="3">
        <v>950</v>
      </c>
      <c r="J311" s="4">
        <v>3389.3</v>
      </c>
      <c r="K311" s="4">
        <v>5815.27</v>
      </c>
      <c r="L311" s="4">
        <v>9050</v>
      </c>
      <c r="M311" s="3">
        <v>7926.67</v>
      </c>
      <c r="N311" s="3">
        <v>3112.33</v>
      </c>
      <c r="O311" s="3">
        <v>950</v>
      </c>
      <c r="P311" s="8">
        <v>1.23389E-2</v>
      </c>
      <c r="Q311" s="8">
        <v>4.56053</v>
      </c>
      <c r="R311" s="8">
        <v>0.275227</v>
      </c>
      <c r="S311" s="8">
        <f>Tabelle1[[#This Row],[corr_x]]/1000</f>
        <v>3.3893</v>
      </c>
      <c r="T311" s="8">
        <f>Tabelle1[[#This Row],[corr_y]]/1000</f>
        <v>5.8152700000000008</v>
      </c>
      <c r="U311" s="8">
        <f>Tabelle1[[#This Row],[corr_z]]/1000</f>
        <v>9.0500000000000007</v>
      </c>
      <c r="V311" s="8">
        <f>Tabelle1[[#This Row],[corr_soma_x]]/1000</f>
        <v>7.9266699999999997</v>
      </c>
      <c r="W311" s="8">
        <f>Tabelle1[[#This Row],[corr_soma_y]]/1000</f>
        <v>3.11233</v>
      </c>
      <c r="X311" s="8">
        <f>Tabelle1[[#This Row],[corr_soma_z]]/1000</f>
        <v>0.95</v>
      </c>
    </row>
    <row r="312" spans="1:24" x14ac:dyDescent="0.35">
      <c r="A312" s="7" t="s">
        <v>14</v>
      </c>
      <c r="B312" s="7" t="s">
        <v>19</v>
      </c>
      <c r="C312" s="6">
        <v>18</v>
      </c>
      <c r="D312" s="4">
        <v>3849.895</v>
      </c>
      <c r="E312" s="4">
        <v>5383.7849999999999</v>
      </c>
      <c r="F312" s="4">
        <v>8950</v>
      </c>
      <c r="G312" s="3">
        <v>7926.67</v>
      </c>
      <c r="H312" s="3">
        <v>3112.33</v>
      </c>
      <c r="I312" s="3">
        <v>950</v>
      </c>
      <c r="J312" s="4">
        <v>3849.895</v>
      </c>
      <c r="K312" s="4">
        <v>5383.7849999999999</v>
      </c>
      <c r="L312" s="4">
        <v>8950</v>
      </c>
      <c r="M312" s="3">
        <v>7926.67</v>
      </c>
      <c r="N312" s="3">
        <v>3112.33</v>
      </c>
      <c r="O312" s="3">
        <v>950</v>
      </c>
      <c r="P312" s="8">
        <v>3.6485199999999995E-2</v>
      </c>
      <c r="Q312" s="8">
        <v>2.5811199999999999</v>
      </c>
      <c r="R312" s="8">
        <v>0.221419</v>
      </c>
      <c r="S312" s="8">
        <f>Tabelle1[[#This Row],[corr_x]]/1000</f>
        <v>3.8498950000000001</v>
      </c>
      <c r="T312" s="8">
        <f>Tabelle1[[#This Row],[corr_y]]/1000</f>
        <v>5.3837849999999996</v>
      </c>
      <c r="U312" s="8">
        <f>Tabelle1[[#This Row],[corr_z]]/1000</f>
        <v>8.9499999999999993</v>
      </c>
      <c r="V312" s="8">
        <f>Tabelle1[[#This Row],[corr_soma_x]]/1000</f>
        <v>7.9266699999999997</v>
      </c>
      <c r="W312" s="8">
        <f>Tabelle1[[#This Row],[corr_soma_y]]/1000</f>
        <v>3.11233</v>
      </c>
      <c r="X312" s="8">
        <f>Tabelle1[[#This Row],[corr_soma_z]]/1000</f>
        <v>0.95</v>
      </c>
    </row>
    <row r="313" spans="1:24" x14ac:dyDescent="0.35">
      <c r="A313" s="7" t="s">
        <v>14</v>
      </c>
      <c r="B313" s="7" t="s">
        <v>18</v>
      </c>
      <c r="C313" s="6">
        <v>28</v>
      </c>
      <c r="D313" s="4">
        <v>3041.24</v>
      </c>
      <c r="E313" s="4">
        <v>6183.2</v>
      </c>
      <c r="F313" s="4">
        <v>9150</v>
      </c>
      <c r="G313" s="3">
        <v>7926.67</v>
      </c>
      <c r="H313" s="3">
        <v>3112.33</v>
      </c>
      <c r="I313" s="3">
        <v>950</v>
      </c>
      <c r="J313" s="4">
        <v>3041.24</v>
      </c>
      <c r="K313" s="4">
        <v>6183.2</v>
      </c>
      <c r="L313" s="4">
        <v>9150</v>
      </c>
      <c r="M313" s="3">
        <v>7926.67</v>
      </c>
      <c r="N313" s="3">
        <v>3112.33</v>
      </c>
      <c r="O313" s="3">
        <v>950</v>
      </c>
      <c r="P313" s="8">
        <v>4.1763300000000003E-2</v>
      </c>
      <c r="Q313" s="8">
        <v>1.00929</v>
      </c>
      <c r="R313" s="8">
        <v>6.2326899999999998E-2</v>
      </c>
      <c r="S313" s="8">
        <f>Tabelle1[[#This Row],[corr_x]]/1000</f>
        <v>3.0412399999999997</v>
      </c>
      <c r="T313" s="8">
        <f>Tabelle1[[#This Row],[corr_y]]/1000</f>
        <v>6.1832000000000003</v>
      </c>
      <c r="U313" s="8">
        <f>Tabelle1[[#This Row],[corr_z]]/1000</f>
        <v>9.15</v>
      </c>
      <c r="V313" s="8">
        <f>Tabelle1[[#This Row],[corr_soma_x]]/1000</f>
        <v>7.9266699999999997</v>
      </c>
      <c r="W313" s="8">
        <f>Tabelle1[[#This Row],[corr_soma_y]]/1000</f>
        <v>3.11233</v>
      </c>
      <c r="X313" s="8">
        <f>Tabelle1[[#This Row],[corr_soma_z]]/1000</f>
        <v>0.95</v>
      </c>
    </row>
    <row r="314" spans="1:24" x14ac:dyDescent="0.35">
      <c r="A314" s="7" t="s">
        <v>14</v>
      </c>
      <c r="B314" s="7" t="s">
        <v>18</v>
      </c>
      <c r="C314" s="6">
        <v>29</v>
      </c>
      <c r="D314" s="4">
        <v>2486.35</v>
      </c>
      <c r="E314" s="4">
        <v>5288.32</v>
      </c>
      <c r="F314" s="4">
        <v>9450</v>
      </c>
      <c r="G314" s="3">
        <v>7926.67</v>
      </c>
      <c r="H314" s="3">
        <v>3112.33</v>
      </c>
      <c r="I314" s="3">
        <v>950</v>
      </c>
      <c r="J314" s="4">
        <v>2486.35</v>
      </c>
      <c r="K314" s="4">
        <v>5288.32</v>
      </c>
      <c r="L314" s="4">
        <v>9450</v>
      </c>
      <c r="M314" s="3">
        <v>7926.67</v>
      </c>
      <c r="N314" s="3">
        <v>3112.33</v>
      </c>
      <c r="O314" s="3">
        <v>950</v>
      </c>
      <c r="P314" s="8">
        <v>8.5203399999999999E-2</v>
      </c>
      <c r="Q314" s="8">
        <v>1.9526699999999999</v>
      </c>
      <c r="R314" s="8">
        <v>0.128188</v>
      </c>
      <c r="S314" s="8">
        <f>Tabelle1[[#This Row],[corr_x]]/1000</f>
        <v>2.4863499999999998</v>
      </c>
      <c r="T314" s="8">
        <f>Tabelle1[[#This Row],[corr_y]]/1000</f>
        <v>5.2883199999999997</v>
      </c>
      <c r="U314" s="8">
        <f>Tabelle1[[#This Row],[corr_z]]/1000</f>
        <v>9.4499999999999993</v>
      </c>
      <c r="V314" s="8">
        <f>Tabelle1[[#This Row],[corr_soma_x]]/1000</f>
        <v>7.9266699999999997</v>
      </c>
      <c r="W314" s="8">
        <f>Tabelle1[[#This Row],[corr_soma_y]]/1000</f>
        <v>3.11233</v>
      </c>
      <c r="X314" s="8">
        <f>Tabelle1[[#This Row],[corr_soma_z]]/1000</f>
        <v>0.95</v>
      </c>
    </row>
    <row r="315" spans="1:24" x14ac:dyDescent="0.35">
      <c r="A315" s="7" t="s">
        <v>14</v>
      </c>
      <c r="B315" s="7" t="s">
        <v>19</v>
      </c>
      <c r="C315" s="6">
        <v>19</v>
      </c>
      <c r="D315" s="4">
        <v>3184.83</v>
      </c>
      <c r="E315" s="4">
        <v>5621.25</v>
      </c>
      <c r="F315" s="4">
        <v>9700</v>
      </c>
      <c r="G315" s="3">
        <v>7926.67</v>
      </c>
      <c r="H315" s="3">
        <v>3112.33</v>
      </c>
      <c r="I315" s="3">
        <v>950</v>
      </c>
      <c r="J315" s="4">
        <v>3184.83</v>
      </c>
      <c r="K315" s="4">
        <v>5621.25</v>
      </c>
      <c r="L315" s="4">
        <v>9700</v>
      </c>
      <c r="M315" s="3">
        <v>7926.67</v>
      </c>
      <c r="N315" s="3">
        <v>3112.33</v>
      </c>
      <c r="O315" s="3">
        <v>950</v>
      </c>
      <c r="P315" s="8">
        <v>6.7339499999999997E-2</v>
      </c>
      <c r="Q315" s="8">
        <v>3.4688599999999998</v>
      </c>
      <c r="R315" s="8">
        <v>0.43974099999999999</v>
      </c>
      <c r="S315" s="8">
        <f>Tabelle1[[#This Row],[corr_x]]/1000</f>
        <v>3.1848299999999998</v>
      </c>
      <c r="T315" s="8">
        <f>Tabelle1[[#This Row],[corr_y]]/1000</f>
        <v>5.6212499999999999</v>
      </c>
      <c r="U315" s="8">
        <f>Tabelle1[[#This Row],[corr_z]]/1000</f>
        <v>9.6999999999999993</v>
      </c>
      <c r="V315" s="8">
        <f>Tabelle1[[#This Row],[corr_soma_x]]/1000</f>
        <v>7.9266699999999997</v>
      </c>
      <c r="W315" s="8">
        <f>Tabelle1[[#This Row],[corr_soma_y]]/1000</f>
        <v>3.11233</v>
      </c>
      <c r="X315" s="8">
        <f>Tabelle1[[#This Row],[corr_soma_z]]/1000</f>
        <v>0.95</v>
      </c>
    </row>
    <row r="316" spans="1:24" x14ac:dyDescent="0.35">
      <c r="A316" s="7" t="s">
        <v>14</v>
      </c>
      <c r="B316" s="7" t="s">
        <v>18</v>
      </c>
      <c r="C316" s="6">
        <v>30</v>
      </c>
      <c r="D316" s="4">
        <v>2234.58</v>
      </c>
      <c r="E316" s="4">
        <v>5873.5349999999999</v>
      </c>
      <c r="F316" s="4">
        <v>9675</v>
      </c>
      <c r="G316" s="3">
        <v>7926.67</v>
      </c>
      <c r="H316" s="3">
        <v>3112.33</v>
      </c>
      <c r="I316" s="3">
        <v>950</v>
      </c>
      <c r="J316" s="4">
        <v>2234.58</v>
      </c>
      <c r="K316" s="4">
        <v>5873.5349999999999</v>
      </c>
      <c r="L316" s="4">
        <v>9675</v>
      </c>
      <c r="M316" s="3">
        <v>7926.67</v>
      </c>
      <c r="N316" s="3">
        <v>3112.33</v>
      </c>
      <c r="O316" s="3">
        <v>950</v>
      </c>
      <c r="P316" s="8">
        <v>3.4085300000000006E-2</v>
      </c>
      <c r="Q316" s="8">
        <v>1.0960099999999999</v>
      </c>
      <c r="R316" s="8">
        <v>5.0546000000000001E-2</v>
      </c>
      <c r="S316" s="8">
        <f>Tabelle1[[#This Row],[corr_x]]/1000</f>
        <v>2.2345799999999998</v>
      </c>
      <c r="T316" s="8">
        <f>Tabelle1[[#This Row],[corr_y]]/1000</f>
        <v>5.8735349999999995</v>
      </c>
      <c r="U316" s="8">
        <f>Tabelle1[[#This Row],[corr_z]]/1000</f>
        <v>9.6750000000000007</v>
      </c>
      <c r="V316" s="8">
        <f>Tabelle1[[#This Row],[corr_soma_x]]/1000</f>
        <v>7.9266699999999997</v>
      </c>
      <c r="W316" s="8">
        <f>Tabelle1[[#This Row],[corr_soma_y]]/1000</f>
        <v>3.11233</v>
      </c>
      <c r="X316" s="8">
        <f>Tabelle1[[#This Row],[corr_soma_z]]/1000</f>
        <v>0.95</v>
      </c>
    </row>
    <row r="317" spans="1:24" x14ac:dyDescent="0.35">
      <c r="A317" s="7" t="s">
        <v>14</v>
      </c>
      <c r="B317" s="7" t="s">
        <v>18</v>
      </c>
      <c r="C317" s="6">
        <v>31</v>
      </c>
      <c r="D317" s="4">
        <v>2534.71</v>
      </c>
      <c r="E317" s="4">
        <v>6003.01</v>
      </c>
      <c r="F317" s="4">
        <v>10350</v>
      </c>
      <c r="G317" s="3">
        <v>7926.67</v>
      </c>
      <c r="H317" s="3">
        <v>3112.33</v>
      </c>
      <c r="I317" s="3">
        <v>950</v>
      </c>
      <c r="J317" s="4">
        <v>2534.71</v>
      </c>
      <c r="K317" s="4">
        <v>6003.01</v>
      </c>
      <c r="L317" s="4">
        <v>10350</v>
      </c>
      <c r="M317" s="3">
        <v>7926.67</v>
      </c>
      <c r="N317" s="3">
        <v>3112.33</v>
      </c>
      <c r="O317" s="3">
        <v>950</v>
      </c>
      <c r="P317" s="8">
        <v>0.11024100000000001</v>
      </c>
      <c r="Q317" s="8">
        <v>2.7842600000000002</v>
      </c>
      <c r="R317" s="8">
        <v>0.26814700000000002</v>
      </c>
      <c r="S317" s="8">
        <f>Tabelle1[[#This Row],[corr_x]]/1000</f>
        <v>2.53471</v>
      </c>
      <c r="T317" s="8">
        <f>Tabelle1[[#This Row],[corr_y]]/1000</f>
        <v>6.0030100000000006</v>
      </c>
      <c r="U317" s="8">
        <f>Tabelle1[[#This Row],[corr_z]]/1000</f>
        <v>10.35</v>
      </c>
      <c r="V317" s="8">
        <f>Tabelle1[[#This Row],[corr_soma_x]]/1000</f>
        <v>7.9266699999999997</v>
      </c>
      <c r="W317" s="8">
        <f>Tabelle1[[#This Row],[corr_soma_y]]/1000</f>
        <v>3.11233</v>
      </c>
      <c r="X317" s="8">
        <f>Tabelle1[[#This Row],[corr_soma_z]]/1000</f>
        <v>0.95</v>
      </c>
    </row>
    <row r="318" spans="1:24" x14ac:dyDescent="0.35">
      <c r="A318" s="7" t="s">
        <v>14</v>
      </c>
      <c r="B318" s="7" t="s">
        <v>18</v>
      </c>
      <c r="C318" s="6">
        <v>32</v>
      </c>
      <c r="D318" s="4">
        <v>1997.13</v>
      </c>
      <c r="E318" s="4">
        <v>6056.18</v>
      </c>
      <c r="F318" s="4">
        <v>10200</v>
      </c>
      <c r="G318" s="3">
        <v>7926.67</v>
      </c>
      <c r="H318" s="3">
        <v>3112.33</v>
      </c>
      <c r="I318" s="3">
        <v>950</v>
      </c>
      <c r="J318" s="4">
        <v>1997.13</v>
      </c>
      <c r="K318" s="4">
        <v>6056.18</v>
      </c>
      <c r="L318" s="4">
        <v>10200</v>
      </c>
      <c r="M318" s="3">
        <v>7926.67</v>
      </c>
      <c r="N318" s="3">
        <v>3112.33</v>
      </c>
      <c r="O318" s="3">
        <v>950</v>
      </c>
      <c r="P318" s="8">
        <v>4.9672800000000003E-2</v>
      </c>
      <c r="Q318" s="8">
        <v>1.6218900000000001</v>
      </c>
      <c r="R318" s="8">
        <v>9.8334400000000002E-2</v>
      </c>
      <c r="S318" s="8">
        <f>Tabelle1[[#This Row],[corr_x]]/1000</f>
        <v>1.9971300000000001</v>
      </c>
      <c r="T318" s="8">
        <f>Tabelle1[[#This Row],[corr_y]]/1000</f>
        <v>6.0561800000000003</v>
      </c>
      <c r="U318" s="8">
        <f>Tabelle1[[#This Row],[corr_z]]/1000</f>
        <v>10.199999999999999</v>
      </c>
      <c r="V318" s="8">
        <f>Tabelle1[[#This Row],[corr_soma_x]]/1000</f>
        <v>7.9266699999999997</v>
      </c>
      <c r="W318" s="8">
        <f>Tabelle1[[#This Row],[corr_soma_y]]/1000</f>
        <v>3.11233</v>
      </c>
      <c r="X318" s="8">
        <f>Tabelle1[[#This Row],[corr_soma_z]]/1000</f>
        <v>0.95</v>
      </c>
    </row>
    <row r="319" spans="1:24" x14ac:dyDescent="0.35">
      <c r="A319" s="7" t="s">
        <v>14</v>
      </c>
      <c r="B319" s="7" t="s">
        <v>18</v>
      </c>
      <c r="C319" s="6">
        <v>33</v>
      </c>
      <c r="D319" s="4">
        <v>2413.4399999999996</v>
      </c>
      <c r="E319" s="4">
        <v>7287.7250000000004</v>
      </c>
      <c r="F319" s="4">
        <v>10625</v>
      </c>
      <c r="G319" s="3">
        <v>7926.67</v>
      </c>
      <c r="H319" s="3">
        <v>3112.33</v>
      </c>
      <c r="I319" s="3">
        <v>950</v>
      </c>
      <c r="J319" s="4">
        <v>2413.4399999999996</v>
      </c>
      <c r="K319" s="4">
        <v>7287.7250000000004</v>
      </c>
      <c r="L319" s="4">
        <v>10625</v>
      </c>
      <c r="M319" s="3">
        <v>7926.67</v>
      </c>
      <c r="N319" s="3">
        <v>3112.33</v>
      </c>
      <c r="O319" s="3">
        <v>950</v>
      </c>
      <c r="P319" s="8">
        <v>5.6068199999999999E-2</v>
      </c>
      <c r="Q319" s="8">
        <v>1.8494200000000001</v>
      </c>
      <c r="R319" s="8">
        <v>0.153226</v>
      </c>
      <c r="S319" s="8">
        <f>Tabelle1[[#This Row],[corr_x]]/1000</f>
        <v>2.4134399999999996</v>
      </c>
      <c r="T319" s="8">
        <f>Tabelle1[[#This Row],[corr_y]]/1000</f>
        <v>7.287725</v>
      </c>
      <c r="U319" s="8">
        <f>Tabelle1[[#This Row],[corr_z]]/1000</f>
        <v>10.625</v>
      </c>
      <c r="V319" s="8">
        <f>Tabelle1[[#This Row],[corr_soma_x]]/1000</f>
        <v>7.9266699999999997</v>
      </c>
      <c r="W319" s="8">
        <f>Tabelle1[[#This Row],[corr_soma_y]]/1000</f>
        <v>3.11233</v>
      </c>
      <c r="X319" s="8">
        <f>Tabelle1[[#This Row],[corr_soma_z]]/1000</f>
        <v>0.95</v>
      </c>
    </row>
    <row r="320" spans="1:24" x14ac:dyDescent="0.35">
      <c r="A320" s="7" t="s">
        <v>14</v>
      </c>
      <c r="B320" s="7" t="s">
        <v>18</v>
      </c>
      <c r="C320" s="6">
        <v>34</v>
      </c>
      <c r="D320" s="4">
        <v>2518.44</v>
      </c>
      <c r="E320" s="4">
        <v>7517.7550000000001</v>
      </c>
      <c r="F320" s="4">
        <v>10725</v>
      </c>
      <c r="G320" s="3">
        <v>7926.67</v>
      </c>
      <c r="H320" s="3">
        <v>3112.33</v>
      </c>
      <c r="I320" s="3">
        <v>950</v>
      </c>
      <c r="J320" s="4">
        <v>2518.44</v>
      </c>
      <c r="K320" s="4">
        <v>7517.7550000000001</v>
      </c>
      <c r="L320" s="4">
        <v>10725</v>
      </c>
      <c r="M320" s="3">
        <v>7926.67</v>
      </c>
      <c r="N320" s="3">
        <v>3112.33</v>
      </c>
      <c r="O320" s="3">
        <v>950</v>
      </c>
      <c r="P320" s="8">
        <v>8.9619600000000008E-2</v>
      </c>
      <c r="Q320" s="8">
        <v>1.64449</v>
      </c>
      <c r="R320" s="8">
        <v>8.3761199999999994E-2</v>
      </c>
      <c r="S320" s="8">
        <f>Tabelle1[[#This Row],[corr_x]]/1000</f>
        <v>2.51844</v>
      </c>
      <c r="T320" s="8">
        <f>Tabelle1[[#This Row],[corr_y]]/1000</f>
        <v>7.5177550000000002</v>
      </c>
      <c r="U320" s="8">
        <f>Tabelle1[[#This Row],[corr_z]]/1000</f>
        <v>10.725</v>
      </c>
      <c r="V320" s="8">
        <f>Tabelle1[[#This Row],[corr_soma_x]]/1000</f>
        <v>7.9266699999999997</v>
      </c>
      <c r="W320" s="8">
        <f>Tabelle1[[#This Row],[corr_soma_y]]/1000</f>
        <v>3.11233</v>
      </c>
      <c r="X320" s="8">
        <f>Tabelle1[[#This Row],[corr_soma_z]]/1000</f>
        <v>0.95</v>
      </c>
    </row>
    <row r="321" spans="1:24" x14ac:dyDescent="0.35">
      <c r="A321" s="7" t="s">
        <v>14</v>
      </c>
      <c r="B321" s="7" t="s">
        <v>18</v>
      </c>
      <c r="C321" s="6">
        <v>35</v>
      </c>
      <c r="D321" s="4">
        <v>5081.1949999999997</v>
      </c>
      <c r="E321" s="4">
        <v>4999.6149999999998</v>
      </c>
      <c r="F321" s="4">
        <v>9375</v>
      </c>
      <c r="G321" s="3">
        <v>7926.67</v>
      </c>
      <c r="H321" s="3">
        <v>3112.33</v>
      </c>
      <c r="I321" s="3">
        <v>950</v>
      </c>
      <c r="J321" s="4">
        <v>5081.1949999999997</v>
      </c>
      <c r="K321" s="4">
        <v>4999.6149999999998</v>
      </c>
      <c r="L321" s="4">
        <v>9375</v>
      </c>
      <c r="M321" s="3">
        <v>7926.67</v>
      </c>
      <c r="N321" s="3">
        <v>3112.33</v>
      </c>
      <c r="O321" s="3">
        <v>950</v>
      </c>
      <c r="P321" s="8">
        <v>2.0327700000000001E-2</v>
      </c>
      <c r="Q321" s="8">
        <v>2.1659099999999998</v>
      </c>
      <c r="R321" s="8">
        <v>0.123782</v>
      </c>
      <c r="S321" s="8">
        <f>Tabelle1[[#This Row],[corr_x]]/1000</f>
        <v>5.0811950000000001</v>
      </c>
      <c r="T321" s="8">
        <f>Tabelle1[[#This Row],[corr_y]]/1000</f>
        <v>4.9996149999999995</v>
      </c>
      <c r="U321" s="8">
        <f>Tabelle1[[#This Row],[corr_z]]/1000</f>
        <v>9.375</v>
      </c>
      <c r="V321" s="8">
        <f>Tabelle1[[#This Row],[corr_soma_x]]/1000</f>
        <v>7.9266699999999997</v>
      </c>
      <c r="W321" s="8">
        <f>Tabelle1[[#This Row],[corr_soma_y]]/1000</f>
        <v>3.11233</v>
      </c>
      <c r="X321" s="8">
        <f>Tabelle1[[#This Row],[corr_soma_z]]/1000</f>
        <v>0.95</v>
      </c>
    </row>
    <row r="322" spans="1:24" x14ac:dyDescent="0.35">
      <c r="A322" s="7" t="s">
        <v>14</v>
      </c>
      <c r="B322" s="7" t="s">
        <v>18</v>
      </c>
      <c r="C322" s="6">
        <v>36</v>
      </c>
      <c r="D322" s="4">
        <v>5630.1100000000006</v>
      </c>
      <c r="E322" s="4">
        <v>5030.6100000000006</v>
      </c>
      <c r="F322" s="4">
        <v>9700</v>
      </c>
      <c r="G322" s="3">
        <v>7926.67</v>
      </c>
      <c r="H322" s="3">
        <v>3112.33</v>
      </c>
      <c r="I322" s="3">
        <v>950</v>
      </c>
      <c r="J322" s="4">
        <v>5630.1100000000006</v>
      </c>
      <c r="K322" s="4">
        <v>5030.6100000000006</v>
      </c>
      <c r="L322" s="4">
        <v>9700</v>
      </c>
      <c r="M322" s="3">
        <v>7926.67</v>
      </c>
      <c r="N322" s="3">
        <v>3112.33</v>
      </c>
      <c r="O322" s="3">
        <v>950</v>
      </c>
      <c r="P322" s="8">
        <v>0.109207</v>
      </c>
      <c r="Q322" s="8">
        <v>1.7939400000000001</v>
      </c>
      <c r="R322" s="8">
        <v>0.13927999999999999</v>
      </c>
      <c r="S322" s="8">
        <f>Tabelle1[[#This Row],[corr_x]]/1000</f>
        <v>5.6301100000000002</v>
      </c>
      <c r="T322" s="8">
        <f>Tabelle1[[#This Row],[corr_y]]/1000</f>
        <v>5.0306100000000002</v>
      </c>
      <c r="U322" s="8">
        <f>Tabelle1[[#This Row],[corr_z]]/1000</f>
        <v>9.6999999999999993</v>
      </c>
      <c r="V322" s="8">
        <f>Tabelle1[[#This Row],[corr_soma_x]]/1000</f>
        <v>7.9266699999999997</v>
      </c>
      <c r="W322" s="8">
        <f>Tabelle1[[#This Row],[corr_soma_y]]/1000</f>
        <v>3.11233</v>
      </c>
      <c r="X322" s="8">
        <f>Tabelle1[[#This Row],[corr_soma_z]]/1000</f>
        <v>0.95</v>
      </c>
    </row>
    <row r="323" spans="1:24" x14ac:dyDescent="0.35">
      <c r="A323" s="7" t="s">
        <v>14</v>
      </c>
      <c r="B323" s="7" t="s">
        <v>18</v>
      </c>
      <c r="C323" s="6">
        <v>37</v>
      </c>
      <c r="D323" s="4">
        <v>3335.69</v>
      </c>
      <c r="E323" s="4">
        <v>5237.04</v>
      </c>
      <c r="F323" s="4">
        <v>9675</v>
      </c>
      <c r="G323" s="3">
        <v>7926.67</v>
      </c>
      <c r="H323" s="3">
        <v>3112.33</v>
      </c>
      <c r="I323" s="3">
        <v>950</v>
      </c>
      <c r="J323" s="4">
        <v>3335.69</v>
      </c>
      <c r="K323" s="4">
        <v>5237.04</v>
      </c>
      <c r="L323" s="4">
        <v>9675</v>
      </c>
      <c r="M323" s="3">
        <v>7926.67</v>
      </c>
      <c r="N323" s="3">
        <v>3112.33</v>
      </c>
      <c r="O323" s="3">
        <v>950</v>
      </c>
      <c r="P323" s="8">
        <v>2.9955099999999998E-2</v>
      </c>
      <c r="Q323" s="8">
        <v>1.94058</v>
      </c>
      <c r="R323" s="8">
        <v>0.162942</v>
      </c>
      <c r="S323" s="8">
        <f>Tabelle1[[#This Row],[corr_x]]/1000</f>
        <v>3.33569</v>
      </c>
      <c r="T323" s="8">
        <f>Tabelle1[[#This Row],[corr_y]]/1000</f>
        <v>5.2370400000000004</v>
      </c>
      <c r="U323" s="8">
        <f>Tabelle1[[#This Row],[corr_z]]/1000</f>
        <v>9.6750000000000007</v>
      </c>
      <c r="V323" s="8">
        <f>Tabelle1[[#This Row],[corr_soma_x]]/1000</f>
        <v>7.9266699999999997</v>
      </c>
      <c r="W323" s="8">
        <f>Tabelle1[[#This Row],[corr_soma_y]]/1000</f>
        <v>3.11233</v>
      </c>
      <c r="X323" s="8">
        <f>Tabelle1[[#This Row],[corr_soma_z]]/1000</f>
        <v>0.95</v>
      </c>
    </row>
    <row r="324" spans="1:24" x14ac:dyDescent="0.35">
      <c r="A324" s="7" t="s">
        <v>14</v>
      </c>
      <c r="B324" s="7" t="s">
        <v>18</v>
      </c>
      <c r="C324" s="6">
        <v>38</v>
      </c>
      <c r="D324" s="4">
        <v>5591.9</v>
      </c>
      <c r="E324" s="4">
        <v>4683.25</v>
      </c>
      <c r="F324" s="4">
        <v>10275</v>
      </c>
      <c r="G324" s="3">
        <v>7926.67</v>
      </c>
      <c r="H324" s="3">
        <v>3112.33</v>
      </c>
      <c r="I324" s="3">
        <v>950</v>
      </c>
      <c r="J324" s="4">
        <v>5591.9</v>
      </c>
      <c r="K324" s="4">
        <v>4683.25</v>
      </c>
      <c r="L324" s="4">
        <v>10275</v>
      </c>
      <c r="M324" s="3">
        <v>7926.67</v>
      </c>
      <c r="N324" s="3">
        <v>3112.33</v>
      </c>
      <c r="O324" s="3">
        <v>950</v>
      </c>
      <c r="P324" s="8">
        <v>4.3114E-2</v>
      </c>
      <c r="Q324" s="8">
        <v>1.6601999999999999</v>
      </c>
      <c r="R324" s="8">
        <v>8.7482799999999999E-2</v>
      </c>
      <c r="S324" s="8">
        <f>Tabelle1[[#This Row],[corr_x]]/1000</f>
        <v>5.5918999999999999</v>
      </c>
      <c r="T324" s="8">
        <f>Tabelle1[[#This Row],[corr_y]]/1000</f>
        <v>4.6832500000000001</v>
      </c>
      <c r="U324" s="8">
        <f>Tabelle1[[#This Row],[corr_z]]/1000</f>
        <v>10.275</v>
      </c>
      <c r="V324" s="8">
        <f>Tabelle1[[#This Row],[corr_soma_x]]/1000</f>
        <v>7.9266699999999997</v>
      </c>
      <c r="W324" s="8">
        <f>Tabelle1[[#This Row],[corr_soma_y]]/1000</f>
        <v>3.11233</v>
      </c>
      <c r="X324" s="8">
        <f>Tabelle1[[#This Row],[corr_soma_z]]/1000</f>
        <v>0.95</v>
      </c>
    </row>
    <row r="325" spans="1:24" x14ac:dyDescent="0.35">
      <c r="A325" s="7" t="s">
        <v>14</v>
      </c>
      <c r="B325" s="7" t="s">
        <v>18</v>
      </c>
      <c r="C325" s="6">
        <v>39</v>
      </c>
      <c r="D325" s="4">
        <v>5663.83</v>
      </c>
      <c r="E325" s="4">
        <v>4967.4449999999997</v>
      </c>
      <c r="F325" s="4">
        <v>10575</v>
      </c>
      <c r="G325" s="3">
        <v>7926.67</v>
      </c>
      <c r="H325" s="3">
        <v>3112.33</v>
      </c>
      <c r="I325" s="3">
        <v>950</v>
      </c>
      <c r="J325" s="4">
        <v>5663.83</v>
      </c>
      <c r="K325" s="4">
        <v>4967.4449999999997</v>
      </c>
      <c r="L325" s="4">
        <v>10575</v>
      </c>
      <c r="M325" s="3">
        <v>7926.67</v>
      </c>
      <c r="N325" s="3">
        <v>3112.33</v>
      </c>
      <c r="O325" s="3">
        <v>950</v>
      </c>
      <c r="P325" s="8">
        <v>0.10280499999999999</v>
      </c>
      <c r="Q325" s="8">
        <v>3.6128</v>
      </c>
      <c r="R325" s="8">
        <v>0.27540500000000001</v>
      </c>
      <c r="S325" s="8">
        <f>Tabelle1[[#This Row],[corr_x]]/1000</f>
        <v>5.6638299999999999</v>
      </c>
      <c r="T325" s="8">
        <f>Tabelle1[[#This Row],[corr_y]]/1000</f>
        <v>4.9674449999999997</v>
      </c>
      <c r="U325" s="8">
        <f>Tabelle1[[#This Row],[corr_z]]/1000</f>
        <v>10.574999999999999</v>
      </c>
      <c r="V325" s="8">
        <f>Tabelle1[[#This Row],[corr_soma_x]]/1000</f>
        <v>7.9266699999999997</v>
      </c>
      <c r="W325" s="8">
        <f>Tabelle1[[#This Row],[corr_soma_y]]/1000</f>
        <v>3.11233</v>
      </c>
      <c r="X325" s="8">
        <f>Tabelle1[[#This Row],[corr_soma_z]]/1000</f>
        <v>0.95</v>
      </c>
    </row>
    <row r="326" spans="1:24" x14ac:dyDescent="0.35">
      <c r="A326" s="7" t="s">
        <v>14</v>
      </c>
      <c r="B326" s="7" t="s">
        <v>18</v>
      </c>
      <c r="C326" s="6">
        <v>40</v>
      </c>
      <c r="D326" s="4">
        <v>5290.125</v>
      </c>
      <c r="E326" s="4">
        <v>5244.0450000000001</v>
      </c>
      <c r="F326" s="4">
        <v>10675</v>
      </c>
      <c r="G326" s="3">
        <v>7926.67</v>
      </c>
      <c r="H326" s="3">
        <v>3112.33</v>
      </c>
      <c r="I326" s="3">
        <v>950</v>
      </c>
      <c r="J326" s="4">
        <v>5290.125</v>
      </c>
      <c r="K326" s="4">
        <v>5244.0450000000001</v>
      </c>
      <c r="L326" s="4">
        <v>10675</v>
      </c>
      <c r="M326" s="3">
        <v>7926.67</v>
      </c>
      <c r="N326" s="3">
        <v>3112.33</v>
      </c>
      <c r="O326" s="3">
        <v>950</v>
      </c>
      <c r="P326" s="8">
        <v>8.6825399999999997E-2</v>
      </c>
      <c r="Q326" s="8">
        <v>1.29745</v>
      </c>
      <c r="R326" s="8">
        <v>5.4291600000000002E-2</v>
      </c>
      <c r="S326" s="8">
        <f>Tabelle1[[#This Row],[corr_x]]/1000</f>
        <v>5.2901249999999997</v>
      </c>
      <c r="T326" s="8">
        <f>Tabelle1[[#This Row],[corr_y]]/1000</f>
        <v>5.2440449999999998</v>
      </c>
      <c r="U326" s="8">
        <f>Tabelle1[[#This Row],[corr_z]]/1000</f>
        <v>10.675000000000001</v>
      </c>
      <c r="V326" s="8">
        <f>Tabelle1[[#This Row],[corr_soma_x]]/1000</f>
        <v>7.9266699999999997</v>
      </c>
      <c r="W326" s="8">
        <f>Tabelle1[[#This Row],[corr_soma_y]]/1000</f>
        <v>3.11233</v>
      </c>
      <c r="X326" s="8">
        <f>Tabelle1[[#This Row],[corr_soma_z]]/1000</f>
        <v>0.95</v>
      </c>
    </row>
    <row r="327" spans="1:24" x14ac:dyDescent="0.35">
      <c r="A327" s="7" t="s">
        <v>14</v>
      </c>
      <c r="B327" s="7" t="s">
        <v>19</v>
      </c>
      <c r="C327" s="6">
        <v>20</v>
      </c>
      <c r="D327" s="4">
        <v>2968.3649999999998</v>
      </c>
      <c r="E327" s="4">
        <v>7110.1</v>
      </c>
      <c r="F327" s="4">
        <v>10725</v>
      </c>
      <c r="G327" s="3">
        <v>7926.67</v>
      </c>
      <c r="H327" s="3">
        <v>3112.33</v>
      </c>
      <c r="I327" s="3">
        <v>950</v>
      </c>
      <c r="J327" s="4">
        <v>2968.3649999999998</v>
      </c>
      <c r="K327" s="4">
        <v>7110.1</v>
      </c>
      <c r="L327" s="4">
        <v>10725</v>
      </c>
      <c r="M327" s="3">
        <v>7926.67</v>
      </c>
      <c r="N327" s="3">
        <v>3112.33</v>
      </c>
      <c r="O327" s="3">
        <v>950</v>
      </c>
      <c r="P327" s="8">
        <v>3.7103800000000006E-2</v>
      </c>
      <c r="Q327" s="8">
        <v>2.5691799999999998</v>
      </c>
      <c r="R327" s="8">
        <v>0.30523899999999998</v>
      </c>
      <c r="S327" s="8">
        <f>Tabelle1[[#This Row],[corr_x]]/1000</f>
        <v>2.9683649999999999</v>
      </c>
      <c r="T327" s="8">
        <f>Tabelle1[[#This Row],[corr_y]]/1000</f>
        <v>7.1101000000000001</v>
      </c>
      <c r="U327" s="8">
        <f>Tabelle1[[#This Row],[corr_z]]/1000</f>
        <v>10.725</v>
      </c>
      <c r="V327" s="8">
        <f>Tabelle1[[#This Row],[corr_soma_x]]/1000</f>
        <v>7.9266699999999997</v>
      </c>
      <c r="W327" s="8">
        <f>Tabelle1[[#This Row],[corr_soma_y]]/1000</f>
        <v>3.11233</v>
      </c>
      <c r="X327" s="8">
        <f>Tabelle1[[#This Row],[corr_soma_z]]/1000</f>
        <v>0.95</v>
      </c>
    </row>
    <row r="328" spans="1:24" x14ac:dyDescent="0.35">
      <c r="A328" s="7" t="s">
        <v>14</v>
      </c>
      <c r="B328" s="7" t="s">
        <v>18</v>
      </c>
      <c r="C328" s="6">
        <v>41</v>
      </c>
      <c r="D328" s="4">
        <v>5200.625</v>
      </c>
      <c r="E328" s="4">
        <v>4584.6900000000005</v>
      </c>
      <c r="F328" s="4">
        <v>10675</v>
      </c>
      <c r="G328" s="3">
        <v>7926.67</v>
      </c>
      <c r="H328" s="3">
        <v>3112.33</v>
      </c>
      <c r="I328" s="3">
        <v>950</v>
      </c>
      <c r="J328" s="4">
        <v>5200.625</v>
      </c>
      <c r="K328" s="4">
        <v>4584.6900000000005</v>
      </c>
      <c r="L328" s="4">
        <v>10675</v>
      </c>
      <c r="M328" s="3">
        <v>7926.67</v>
      </c>
      <c r="N328" s="3">
        <v>3112.33</v>
      </c>
      <c r="O328" s="3">
        <v>950</v>
      </c>
      <c r="P328" s="8">
        <v>5.3952699999999999E-2</v>
      </c>
      <c r="Q328" s="8">
        <v>1.34642</v>
      </c>
      <c r="R328" s="8">
        <v>9.0139999999999998E-2</v>
      </c>
      <c r="S328" s="8">
        <f>Tabelle1[[#This Row],[corr_x]]/1000</f>
        <v>5.2006249999999996</v>
      </c>
      <c r="T328" s="8">
        <f>Tabelle1[[#This Row],[corr_y]]/1000</f>
        <v>4.5846900000000002</v>
      </c>
      <c r="U328" s="8">
        <f>Tabelle1[[#This Row],[corr_z]]/1000</f>
        <v>10.675000000000001</v>
      </c>
      <c r="V328" s="8">
        <f>Tabelle1[[#This Row],[corr_soma_x]]/1000</f>
        <v>7.9266699999999997</v>
      </c>
      <c r="W328" s="8">
        <f>Tabelle1[[#This Row],[corr_soma_y]]/1000</f>
        <v>3.11233</v>
      </c>
      <c r="X328" s="8">
        <f>Tabelle1[[#This Row],[corr_soma_z]]/1000</f>
        <v>0.95</v>
      </c>
    </row>
    <row r="329" spans="1:24" x14ac:dyDescent="0.35">
      <c r="A329" s="7" t="s">
        <v>14</v>
      </c>
      <c r="B329" s="7" t="s">
        <v>19</v>
      </c>
      <c r="C329" s="6">
        <v>21</v>
      </c>
      <c r="D329" s="4">
        <v>5069.4799999999996</v>
      </c>
      <c r="E329" s="4">
        <v>4847.97</v>
      </c>
      <c r="F329" s="4">
        <v>10800</v>
      </c>
      <c r="G329" s="3">
        <v>7926.67</v>
      </c>
      <c r="H329" s="3">
        <v>3112.33</v>
      </c>
      <c r="I329" s="3">
        <v>950</v>
      </c>
      <c r="J329" s="4">
        <v>5069.4799999999996</v>
      </c>
      <c r="K329" s="4">
        <v>4847.97</v>
      </c>
      <c r="L329" s="4">
        <v>10800</v>
      </c>
      <c r="M329" s="3">
        <v>7926.67</v>
      </c>
      <c r="N329" s="3">
        <v>3112.33</v>
      </c>
      <c r="O329" s="3">
        <v>950</v>
      </c>
      <c r="P329" s="8">
        <v>4.2526500000000002E-2</v>
      </c>
      <c r="Q329" s="8">
        <v>3.4888599999999999</v>
      </c>
      <c r="R329" s="8">
        <v>0.35836499999999999</v>
      </c>
      <c r="S329" s="8">
        <f>Tabelle1[[#This Row],[corr_x]]/1000</f>
        <v>5.0694799999999995</v>
      </c>
      <c r="T329" s="8">
        <f>Tabelle1[[#This Row],[corr_y]]/1000</f>
        <v>4.8479700000000001</v>
      </c>
      <c r="U329" s="8">
        <f>Tabelle1[[#This Row],[corr_z]]/1000</f>
        <v>10.8</v>
      </c>
      <c r="V329" s="8">
        <f>Tabelle1[[#This Row],[corr_soma_x]]/1000</f>
        <v>7.9266699999999997</v>
      </c>
      <c r="W329" s="8">
        <f>Tabelle1[[#This Row],[corr_soma_y]]/1000</f>
        <v>3.11233</v>
      </c>
      <c r="X329" s="8">
        <f>Tabelle1[[#This Row],[corr_soma_z]]/1000</f>
        <v>0.95</v>
      </c>
    </row>
    <row r="330" spans="1:24" x14ac:dyDescent="0.35">
      <c r="A330" s="7" t="s">
        <v>14</v>
      </c>
      <c r="B330" s="7" t="s">
        <v>18</v>
      </c>
      <c r="C330" s="6">
        <v>42</v>
      </c>
      <c r="D330" s="4">
        <v>5215.29</v>
      </c>
      <c r="E330" s="4">
        <v>4550.25</v>
      </c>
      <c r="F330" s="4">
        <v>11250</v>
      </c>
      <c r="G330" s="3">
        <v>7926.67</v>
      </c>
      <c r="H330" s="3">
        <v>3112.33</v>
      </c>
      <c r="I330" s="3">
        <v>950</v>
      </c>
      <c r="J330" s="4">
        <v>5215.29</v>
      </c>
      <c r="K330" s="4">
        <v>4550.25</v>
      </c>
      <c r="L330" s="4">
        <v>11250</v>
      </c>
      <c r="M330" s="3">
        <v>7926.67</v>
      </c>
      <c r="N330" s="3">
        <v>3112.33</v>
      </c>
      <c r="O330" s="3">
        <v>950</v>
      </c>
      <c r="P330" s="8">
        <v>6.7249000000000003E-2</v>
      </c>
      <c r="Q330" s="8">
        <v>1.0144599999999999</v>
      </c>
      <c r="R330" s="8">
        <v>5.56158E-2</v>
      </c>
      <c r="S330" s="8">
        <f>Tabelle1[[#This Row],[corr_x]]/1000</f>
        <v>5.2152899999999995</v>
      </c>
      <c r="T330" s="8">
        <f>Tabelle1[[#This Row],[corr_y]]/1000</f>
        <v>4.5502500000000001</v>
      </c>
      <c r="U330" s="8">
        <f>Tabelle1[[#This Row],[corr_z]]/1000</f>
        <v>11.25</v>
      </c>
      <c r="V330" s="8">
        <f>Tabelle1[[#This Row],[corr_soma_x]]/1000</f>
        <v>7.9266699999999997</v>
      </c>
      <c r="W330" s="8">
        <f>Tabelle1[[#This Row],[corr_soma_y]]/1000</f>
        <v>3.11233</v>
      </c>
      <c r="X330" s="8">
        <f>Tabelle1[[#This Row],[corr_soma_z]]/1000</f>
        <v>0.95</v>
      </c>
    </row>
    <row r="331" spans="1:24" x14ac:dyDescent="0.35">
      <c r="A331" s="7" t="s">
        <v>14</v>
      </c>
      <c r="B331" s="7" t="s">
        <v>18</v>
      </c>
      <c r="C331" s="6">
        <v>43</v>
      </c>
      <c r="D331" s="4">
        <v>5469.43</v>
      </c>
      <c r="E331" s="4">
        <v>4689.87</v>
      </c>
      <c r="F331" s="4">
        <v>12300</v>
      </c>
      <c r="G331" s="3">
        <v>7926.67</v>
      </c>
      <c r="H331" s="3">
        <v>3112.33</v>
      </c>
      <c r="I331" s="3">
        <v>950</v>
      </c>
      <c r="J331" s="4">
        <v>5469.43</v>
      </c>
      <c r="K331" s="4">
        <v>4689.87</v>
      </c>
      <c r="L331" s="4">
        <v>12300</v>
      </c>
      <c r="M331" s="3">
        <v>7926.67</v>
      </c>
      <c r="N331" s="3">
        <v>3112.33</v>
      </c>
      <c r="O331" s="3">
        <v>950</v>
      </c>
      <c r="P331" s="8">
        <v>9.2728000000000005E-2</v>
      </c>
      <c r="Q331" s="8">
        <v>3.8179400000000001</v>
      </c>
      <c r="R331" s="8">
        <v>0.396621</v>
      </c>
      <c r="S331" s="8">
        <f>Tabelle1[[#This Row],[corr_x]]/1000</f>
        <v>5.46943</v>
      </c>
      <c r="T331" s="8">
        <f>Tabelle1[[#This Row],[corr_y]]/1000</f>
        <v>4.68987</v>
      </c>
      <c r="U331" s="8">
        <f>Tabelle1[[#This Row],[corr_z]]/1000</f>
        <v>12.3</v>
      </c>
      <c r="V331" s="8">
        <f>Tabelle1[[#This Row],[corr_soma_x]]/1000</f>
        <v>7.9266699999999997</v>
      </c>
      <c r="W331" s="8">
        <f>Tabelle1[[#This Row],[corr_soma_y]]/1000</f>
        <v>3.11233</v>
      </c>
      <c r="X331" s="8">
        <f>Tabelle1[[#This Row],[corr_soma_z]]/1000</f>
        <v>0.95</v>
      </c>
    </row>
    <row r="332" spans="1:24" x14ac:dyDescent="0.35">
      <c r="A332" s="7" t="s">
        <v>14</v>
      </c>
      <c r="B332" s="7" t="s">
        <v>18</v>
      </c>
      <c r="C332" s="6">
        <v>44</v>
      </c>
      <c r="D332" s="4">
        <v>5068.8599999999997</v>
      </c>
      <c r="E332" s="4">
        <v>4957.66</v>
      </c>
      <c r="F332" s="4">
        <v>11800</v>
      </c>
      <c r="G332" s="3">
        <v>7926.67</v>
      </c>
      <c r="H332" s="3">
        <v>3112.33</v>
      </c>
      <c r="I332" s="3">
        <v>950</v>
      </c>
      <c r="J332" s="4">
        <v>5068.8599999999997</v>
      </c>
      <c r="K332" s="4">
        <v>4957.66</v>
      </c>
      <c r="L332" s="4">
        <v>11800</v>
      </c>
      <c r="M332" s="3">
        <v>7926.67</v>
      </c>
      <c r="N332" s="3">
        <v>3112.33</v>
      </c>
      <c r="O332" s="3">
        <v>950</v>
      </c>
      <c r="P332" s="8">
        <v>4.7384999999999997E-2</v>
      </c>
      <c r="Q332" s="8">
        <v>1.28071</v>
      </c>
      <c r="R332" s="8">
        <v>0.13150200000000001</v>
      </c>
      <c r="S332" s="8">
        <f>Tabelle1[[#This Row],[corr_x]]/1000</f>
        <v>5.0688599999999999</v>
      </c>
      <c r="T332" s="8">
        <f>Tabelle1[[#This Row],[corr_y]]/1000</f>
        <v>4.9576599999999997</v>
      </c>
      <c r="U332" s="8">
        <f>Tabelle1[[#This Row],[corr_z]]/1000</f>
        <v>11.8</v>
      </c>
      <c r="V332" s="8">
        <f>Tabelle1[[#This Row],[corr_soma_x]]/1000</f>
        <v>7.9266699999999997</v>
      </c>
      <c r="W332" s="8">
        <f>Tabelle1[[#This Row],[corr_soma_y]]/1000</f>
        <v>3.11233</v>
      </c>
      <c r="X332" s="8">
        <f>Tabelle1[[#This Row],[corr_soma_z]]/1000</f>
        <v>0.95</v>
      </c>
    </row>
    <row r="333" spans="1:24" x14ac:dyDescent="0.35">
      <c r="A333" s="7" t="s">
        <v>14</v>
      </c>
      <c r="B333" s="7" t="s">
        <v>18</v>
      </c>
      <c r="C333" s="6">
        <v>45</v>
      </c>
      <c r="D333" s="4">
        <v>5648.01</v>
      </c>
      <c r="E333" s="4">
        <v>4978.12</v>
      </c>
      <c r="F333" s="4">
        <v>12450</v>
      </c>
      <c r="G333" s="3">
        <v>7926.67</v>
      </c>
      <c r="H333" s="3">
        <v>3112.33</v>
      </c>
      <c r="I333" s="3">
        <v>950</v>
      </c>
      <c r="J333" s="4">
        <v>5648.01</v>
      </c>
      <c r="K333" s="4">
        <v>4978.12</v>
      </c>
      <c r="L333" s="4">
        <v>12450</v>
      </c>
      <c r="M333" s="3">
        <v>7926.67</v>
      </c>
      <c r="N333" s="3">
        <v>3112.33</v>
      </c>
      <c r="O333" s="3">
        <v>950</v>
      </c>
      <c r="P333" s="8">
        <v>4.2210699999999997E-2</v>
      </c>
      <c r="Q333" s="8">
        <v>0.54108999999999996</v>
      </c>
      <c r="R333" s="8">
        <v>3.8408499999999998E-2</v>
      </c>
      <c r="S333" s="8">
        <f>Tabelle1[[#This Row],[corr_x]]/1000</f>
        <v>5.6480100000000002</v>
      </c>
      <c r="T333" s="8">
        <f>Tabelle1[[#This Row],[corr_y]]/1000</f>
        <v>4.9781199999999997</v>
      </c>
      <c r="U333" s="8">
        <f>Tabelle1[[#This Row],[corr_z]]/1000</f>
        <v>12.45</v>
      </c>
      <c r="V333" s="8">
        <f>Tabelle1[[#This Row],[corr_soma_x]]/1000</f>
        <v>7.9266699999999997</v>
      </c>
      <c r="W333" s="8">
        <f>Tabelle1[[#This Row],[corr_soma_y]]/1000</f>
        <v>3.11233</v>
      </c>
      <c r="X333" s="8">
        <f>Tabelle1[[#This Row],[corr_soma_z]]/1000</f>
        <v>0.95</v>
      </c>
    </row>
    <row r="334" spans="1:24" x14ac:dyDescent="0.35">
      <c r="A334" s="7" t="s">
        <v>14</v>
      </c>
      <c r="B334" s="7" t="s">
        <v>18</v>
      </c>
      <c r="C334" s="6">
        <v>46</v>
      </c>
      <c r="D334" s="4">
        <v>4925.2150000000001</v>
      </c>
      <c r="E334" s="4">
        <v>4829.2649999999994</v>
      </c>
      <c r="F334" s="4">
        <v>12675</v>
      </c>
      <c r="G334" s="3">
        <v>7926.67</v>
      </c>
      <c r="H334" s="3">
        <v>3112.33</v>
      </c>
      <c r="I334" s="3">
        <v>950</v>
      </c>
      <c r="J334" s="4">
        <v>4925.2150000000001</v>
      </c>
      <c r="K334" s="4">
        <v>4829.2649999999994</v>
      </c>
      <c r="L334" s="4">
        <v>12675</v>
      </c>
      <c r="M334" s="3">
        <v>7926.67</v>
      </c>
      <c r="N334" s="3">
        <v>3112.33</v>
      </c>
      <c r="O334" s="3">
        <v>950</v>
      </c>
      <c r="P334" s="8">
        <v>4.7580400000000002E-2</v>
      </c>
      <c r="Q334" s="8">
        <v>1.2078100000000001</v>
      </c>
      <c r="R334" s="8">
        <v>5.4726299999999999E-2</v>
      </c>
      <c r="S334" s="8">
        <f>Tabelle1[[#This Row],[corr_x]]/1000</f>
        <v>4.9252150000000006</v>
      </c>
      <c r="T334" s="8">
        <f>Tabelle1[[#This Row],[corr_y]]/1000</f>
        <v>4.8292649999999995</v>
      </c>
      <c r="U334" s="8">
        <f>Tabelle1[[#This Row],[corr_z]]/1000</f>
        <v>12.675000000000001</v>
      </c>
      <c r="V334" s="8">
        <f>Tabelle1[[#This Row],[corr_soma_x]]/1000</f>
        <v>7.9266699999999997</v>
      </c>
      <c r="W334" s="8">
        <f>Tabelle1[[#This Row],[corr_soma_y]]/1000</f>
        <v>3.11233</v>
      </c>
      <c r="X334" s="8">
        <f>Tabelle1[[#This Row],[corr_soma_z]]/1000</f>
        <v>0.95</v>
      </c>
    </row>
    <row r="335" spans="1:24" x14ac:dyDescent="0.35">
      <c r="A335" s="7" t="s">
        <v>14</v>
      </c>
      <c r="B335" s="7" t="s">
        <v>18</v>
      </c>
      <c r="C335" s="6">
        <v>47</v>
      </c>
      <c r="D335" s="4">
        <v>5102.05</v>
      </c>
      <c r="E335" s="4">
        <v>5271.76</v>
      </c>
      <c r="F335" s="4">
        <v>13100</v>
      </c>
      <c r="G335" s="3">
        <v>7926.67</v>
      </c>
      <c r="H335" s="3">
        <v>3112.33</v>
      </c>
      <c r="I335" s="3">
        <v>950</v>
      </c>
      <c r="J335" s="4">
        <v>5102.05</v>
      </c>
      <c r="K335" s="4">
        <v>5271.76</v>
      </c>
      <c r="L335" s="4">
        <v>13100</v>
      </c>
      <c r="M335" s="3">
        <v>7926.67</v>
      </c>
      <c r="N335" s="3">
        <v>3112.33</v>
      </c>
      <c r="O335" s="3">
        <v>950</v>
      </c>
      <c r="P335" s="8">
        <v>8.3071800000000001E-2</v>
      </c>
      <c r="Q335" s="8">
        <v>2.0021</v>
      </c>
      <c r="R335" s="8">
        <v>9.8902400000000001E-2</v>
      </c>
      <c r="S335" s="8">
        <f>Tabelle1[[#This Row],[corr_x]]/1000</f>
        <v>5.1020500000000002</v>
      </c>
      <c r="T335" s="8">
        <f>Tabelle1[[#This Row],[corr_y]]/1000</f>
        <v>5.2717600000000004</v>
      </c>
      <c r="U335" s="8">
        <f>Tabelle1[[#This Row],[corr_z]]/1000</f>
        <v>13.1</v>
      </c>
      <c r="V335" s="8">
        <f>Tabelle1[[#This Row],[corr_soma_x]]/1000</f>
        <v>7.9266699999999997</v>
      </c>
      <c r="W335" s="8">
        <f>Tabelle1[[#This Row],[corr_soma_y]]/1000</f>
        <v>3.11233</v>
      </c>
      <c r="X335" s="8">
        <f>Tabelle1[[#This Row],[corr_soma_z]]/1000</f>
        <v>0.95</v>
      </c>
    </row>
    <row r="336" spans="1:24" x14ac:dyDescent="0.35">
      <c r="A336" s="7" t="s">
        <v>14</v>
      </c>
      <c r="B336" s="7" t="s">
        <v>18</v>
      </c>
      <c r="C336" s="6">
        <v>48</v>
      </c>
      <c r="D336" s="4">
        <v>5451.0650000000005</v>
      </c>
      <c r="E336" s="4">
        <v>5277.5499999999993</v>
      </c>
      <c r="F336" s="4">
        <v>13775</v>
      </c>
      <c r="G336" s="3">
        <v>7926.67</v>
      </c>
      <c r="H336" s="3">
        <v>3112.33</v>
      </c>
      <c r="I336" s="3">
        <v>950</v>
      </c>
      <c r="J336" s="4">
        <v>5451.0650000000005</v>
      </c>
      <c r="K336" s="4">
        <v>5277.5499999999993</v>
      </c>
      <c r="L336" s="4">
        <v>13775</v>
      </c>
      <c r="M336" s="3">
        <v>7926.67</v>
      </c>
      <c r="N336" s="3">
        <v>3112.33</v>
      </c>
      <c r="O336" s="3">
        <v>950</v>
      </c>
      <c r="P336" s="8">
        <v>0.100674</v>
      </c>
      <c r="Q336" s="8">
        <v>6.7646300000000004</v>
      </c>
      <c r="R336" s="8">
        <v>0.54216600000000004</v>
      </c>
      <c r="S336" s="8">
        <f>Tabelle1[[#This Row],[corr_x]]/1000</f>
        <v>5.4510650000000007</v>
      </c>
      <c r="T336" s="8">
        <f>Tabelle1[[#This Row],[corr_y]]/1000</f>
        <v>5.2775499999999989</v>
      </c>
      <c r="U336" s="8">
        <f>Tabelle1[[#This Row],[corr_z]]/1000</f>
        <v>13.775</v>
      </c>
      <c r="V336" s="8">
        <f>Tabelle1[[#This Row],[corr_soma_x]]/1000</f>
        <v>7.9266699999999997</v>
      </c>
      <c r="W336" s="8">
        <f>Tabelle1[[#This Row],[corr_soma_y]]/1000</f>
        <v>3.11233</v>
      </c>
      <c r="X336" s="8">
        <f>Tabelle1[[#This Row],[corr_soma_z]]/1000</f>
        <v>0.95</v>
      </c>
    </row>
    <row r="337" spans="1:24" x14ac:dyDescent="0.35">
      <c r="A337" s="7" t="s">
        <v>14</v>
      </c>
      <c r="B337" s="7" t="s">
        <v>18</v>
      </c>
      <c r="C337" s="6">
        <v>49</v>
      </c>
      <c r="D337" s="4">
        <v>5370.89</v>
      </c>
      <c r="E337" s="4">
        <v>4874.3500000000004</v>
      </c>
      <c r="F337" s="4">
        <v>13500</v>
      </c>
      <c r="G337" s="3">
        <v>7926.67</v>
      </c>
      <c r="H337" s="3">
        <v>3112.33</v>
      </c>
      <c r="I337" s="3">
        <v>950</v>
      </c>
      <c r="J337" s="4">
        <v>5370.89</v>
      </c>
      <c r="K337" s="4">
        <v>4874.3500000000004</v>
      </c>
      <c r="L337" s="4">
        <v>13500</v>
      </c>
      <c r="M337" s="3">
        <v>7926.67</v>
      </c>
      <c r="N337" s="3">
        <v>3112.33</v>
      </c>
      <c r="O337" s="3">
        <v>950</v>
      </c>
      <c r="P337" s="8">
        <v>2.1465000000000001E-2</v>
      </c>
      <c r="Q337" s="8">
        <v>7.0931800000000003</v>
      </c>
      <c r="R337" s="8">
        <v>0.84698200000000001</v>
      </c>
      <c r="S337" s="8">
        <f>Tabelle1[[#This Row],[corr_x]]/1000</f>
        <v>5.3708900000000002</v>
      </c>
      <c r="T337" s="8">
        <f>Tabelle1[[#This Row],[corr_y]]/1000</f>
        <v>4.8743500000000006</v>
      </c>
      <c r="U337" s="8">
        <f>Tabelle1[[#This Row],[corr_z]]/1000</f>
        <v>13.5</v>
      </c>
      <c r="V337" s="8">
        <f>Tabelle1[[#This Row],[corr_soma_x]]/1000</f>
        <v>7.9266699999999997</v>
      </c>
      <c r="W337" s="8">
        <f>Tabelle1[[#This Row],[corr_soma_y]]/1000</f>
        <v>3.11233</v>
      </c>
      <c r="X337" s="8">
        <f>Tabelle1[[#This Row],[corr_soma_z]]/1000</f>
        <v>0.95</v>
      </c>
    </row>
    <row r="338" spans="1:24" x14ac:dyDescent="0.35">
      <c r="A338" s="7" t="s">
        <v>15</v>
      </c>
      <c r="B338" s="7" t="s">
        <v>19</v>
      </c>
      <c r="C338" s="6">
        <v>1</v>
      </c>
      <c r="D338" s="5">
        <v>6204.585</v>
      </c>
      <c r="E338" s="5">
        <v>16663</v>
      </c>
      <c r="F338" s="5">
        <v>125</v>
      </c>
      <c r="G338" s="5">
        <v>7683.11</v>
      </c>
      <c r="H338" s="5">
        <v>25189.399999999998</v>
      </c>
      <c r="I338" s="5">
        <v>1250</v>
      </c>
      <c r="J338" s="5">
        <v>6204.585</v>
      </c>
      <c r="K338" s="5">
        <v>16663</v>
      </c>
      <c r="L338" s="5">
        <v>125</v>
      </c>
      <c r="M338" s="5">
        <v>7683.11</v>
      </c>
      <c r="N338" s="5">
        <v>25189.399999999998</v>
      </c>
      <c r="O338" s="5">
        <v>1250</v>
      </c>
      <c r="P338" s="8">
        <v>4.0252599999999999E-2</v>
      </c>
      <c r="Q338" s="8">
        <v>0.99504099999999995</v>
      </c>
      <c r="R338" s="8">
        <v>6.7502300000000001E-2</v>
      </c>
      <c r="S338" s="8">
        <f>Tabelle1[[#This Row],[corr_x]]/1000</f>
        <v>6.2045849999999998</v>
      </c>
      <c r="T338" s="8">
        <f>Tabelle1[[#This Row],[corr_y]]/1000</f>
        <v>16.663</v>
      </c>
      <c r="U338" s="8">
        <f>Tabelle1[[#This Row],[corr_z]]/1000</f>
        <v>0.125</v>
      </c>
      <c r="V338" s="8">
        <f>Tabelle1[[#This Row],[corr_soma_x]]/1000</f>
        <v>7.6831100000000001</v>
      </c>
      <c r="W338" s="8">
        <f>Tabelle1[[#This Row],[corr_soma_y]]/1000</f>
        <v>25.189399999999999</v>
      </c>
      <c r="X338" s="8">
        <f>Tabelle1[[#This Row],[corr_soma_z]]/1000</f>
        <v>1.25</v>
      </c>
    </row>
    <row r="339" spans="1:24" x14ac:dyDescent="0.35">
      <c r="A339" s="7" t="s">
        <v>15</v>
      </c>
      <c r="B339" s="7" t="s">
        <v>18</v>
      </c>
      <c r="C339" s="6">
        <v>1</v>
      </c>
      <c r="D339" s="5">
        <v>6303.125</v>
      </c>
      <c r="E339" s="5">
        <v>20408.149999999998</v>
      </c>
      <c r="F339" s="5">
        <v>125</v>
      </c>
      <c r="G339" s="5">
        <v>7683.11</v>
      </c>
      <c r="H339" s="5">
        <v>25189.399999999998</v>
      </c>
      <c r="I339" s="5">
        <v>1250</v>
      </c>
      <c r="J339" s="5">
        <v>6303.125</v>
      </c>
      <c r="K339" s="5">
        <v>20408.149999999998</v>
      </c>
      <c r="L339" s="5">
        <v>125</v>
      </c>
      <c r="M339" s="5">
        <v>7683.11</v>
      </c>
      <c r="N339" s="5">
        <v>25189.399999999998</v>
      </c>
      <c r="O339" s="5">
        <v>1250</v>
      </c>
      <c r="P339" s="8">
        <v>3.6611299999999999E-2</v>
      </c>
      <c r="Q339" s="8">
        <v>0.87359900000000001</v>
      </c>
      <c r="R339" s="8">
        <v>4.35988E-2</v>
      </c>
      <c r="S339" s="8">
        <f>Tabelle1[[#This Row],[corr_x]]/1000</f>
        <v>6.3031249999999996</v>
      </c>
      <c r="T339" s="8">
        <f>Tabelle1[[#This Row],[corr_y]]/1000</f>
        <v>20.408149999999999</v>
      </c>
      <c r="U339" s="8">
        <f>Tabelle1[[#This Row],[corr_z]]/1000</f>
        <v>0.125</v>
      </c>
      <c r="V339" s="8">
        <f>Tabelle1[[#This Row],[corr_soma_x]]/1000</f>
        <v>7.6831100000000001</v>
      </c>
      <c r="W339" s="8">
        <f>Tabelle1[[#This Row],[corr_soma_y]]/1000</f>
        <v>25.189399999999999</v>
      </c>
      <c r="X339" s="8">
        <f>Tabelle1[[#This Row],[corr_soma_z]]/1000</f>
        <v>1.25</v>
      </c>
    </row>
    <row r="340" spans="1:24" x14ac:dyDescent="0.35">
      <c r="A340" s="7" t="s">
        <v>15</v>
      </c>
      <c r="B340" s="7" t="s">
        <v>18</v>
      </c>
      <c r="C340" s="6">
        <v>2</v>
      </c>
      <c r="D340" s="5">
        <v>6265.1900000000005</v>
      </c>
      <c r="E340" s="5">
        <v>16054.949999999999</v>
      </c>
      <c r="F340" s="5">
        <v>675</v>
      </c>
      <c r="G340" s="5">
        <v>7683.11</v>
      </c>
      <c r="H340" s="5">
        <v>25189.399999999998</v>
      </c>
      <c r="I340" s="5">
        <v>1250</v>
      </c>
      <c r="J340" s="5">
        <v>6265.1900000000005</v>
      </c>
      <c r="K340" s="5">
        <v>16054.949999999999</v>
      </c>
      <c r="L340" s="5">
        <v>675</v>
      </c>
      <c r="M340" s="5">
        <v>7683.11</v>
      </c>
      <c r="N340" s="5">
        <v>25189.399999999998</v>
      </c>
      <c r="O340" s="5">
        <v>1250</v>
      </c>
      <c r="P340" s="8">
        <v>6.4860200000000007E-2</v>
      </c>
      <c r="Q340" s="8">
        <v>1.40801</v>
      </c>
      <c r="R340" s="8">
        <v>8.8640800000000006E-2</v>
      </c>
      <c r="S340" s="8">
        <f>Tabelle1[[#This Row],[corr_x]]/1000</f>
        <v>6.2651900000000005</v>
      </c>
      <c r="T340" s="8">
        <f>Tabelle1[[#This Row],[corr_y]]/1000</f>
        <v>16.054949999999998</v>
      </c>
      <c r="U340" s="8">
        <f>Tabelle1[[#This Row],[corr_z]]/1000</f>
        <v>0.67500000000000004</v>
      </c>
      <c r="V340" s="8">
        <f>Tabelle1[[#This Row],[corr_soma_x]]/1000</f>
        <v>7.6831100000000001</v>
      </c>
      <c r="W340" s="8">
        <f>Tabelle1[[#This Row],[corr_soma_y]]/1000</f>
        <v>25.189399999999999</v>
      </c>
      <c r="X340" s="8">
        <f>Tabelle1[[#This Row],[corr_soma_z]]/1000</f>
        <v>1.25</v>
      </c>
    </row>
    <row r="341" spans="1:24" x14ac:dyDescent="0.35">
      <c r="A341" s="7" t="s">
        <v>15</v>
      </c>
      <c r="B341" s="7" t="s">
        <v>19</v>
      </c>
      <c r="C341" s="6">
        <v>2</v>
      </c>
      <c r="D341" s="5">
        <v>5661.7599999999993</v>
      </c>
      <c r="E341" s="5">
        <v>16013.349999999999</v>
      </c>
      <c r="F341" s="5">
        <v>525</v>
      </c>
      <c r="G341" s="5">
        <v>7683.11</v>
      </c>
      <c r="H341" s="5">
        <v>25189.399999999998</v>
      </c>
      <c r="I341" s="5">
        <v>1250</v>
      </c>
      <c r="J341" s="5">
        <v>5661.7599999999993</v>
      </c>
      <c r="K341" s="5">
        <v>16013.349999999999</v>
      </c>
      <c r="L341" s="5">
        <v>525</v>
      </c>
      <c r="M341" s="5">
        <v>7683.11</v>
      </c>
      <c r="N341" s="5">
        <v>25189.399999999998</v>
      </c>
      <c r="O341" s="5">
        <v>1250</v>
      </c>
      <c r="P341" s="8">
        <v>5.0337399999999997E-2</v>
      </c>
      <c r="Q341" s="8">
        <v>0.89876999999999996</v>
      </c>
      <c r="R341" s="8">
        <v>3.6336899999999998E-2</v>
      </c>
      <c r="S341" s="8">
        <f>Tabelle1[[#This Row],[corr_x]]/1000</f>
        <v>5.6617599999999992</v>
      </c>
      <c r="T341" s="8">
        <f>Tabelle1[[#This Row],[corr_y]]/1000</f>
        <v>16.013349999999999</v>
      </c>
      <c r="U341" s="8">
        <f>Tabelle1[[#This Row],[corr_z]]/1000</f>
        <v>0.52500000000000002</v>
      </c>
      <c r="V341" s="8">
        <f>Tabelle1[[#This Row],[corr_soma_x]]/1000</f>
        <v>7.6831100000000001</v>
      </c>
      <c r="W341" s="8">
        <f>Tabelle1[[#This Row],[corr_soma_y]]/1000</f>
        <v>25.189399999999999</v>
      </c>
      <c r="X341" s="8">
        <f>Tabelle1[[#This Row],[corr_soma_z]]/1000</f>
        <v>1.25</v>
      </c>
    </row>
    <row r="342" spans="1:24" x14ac:dyDescent="0.35">
      <c r="A342" s="7" t="s">
        <v>15</v>
      </c>
      <c r="B342" s="7" t="s">
        <v>18</v>
      </c>
      <c r="C342" s="6">
        <v>3</v>
      </c>
      <c r="D342" s="5">
        <v>6091.21</v>
      </c>
      <c r="E342" s="5">
        <v>16734.100000000002</v>
      </c>
      <c r="F342" s="5">
        <v>1050</v>
      </c>
      <c r="G342" s="5">
        <v>7683.11</v>
      </c>
      <c r="H342" s="5">
        <v>25189.399999999998</v>
      </c>
      <c r="I342" s="5">
        <v>1250</v>
      </c>
      <c r="J342" s="5">
        <v>6091.21</v>
      </c>
      <c r="K342" s="5">
        <v>16734.100000000002</v>
      </c>
      <c r="L342" s="5">
        <v>1050</v>
      </c>
      <c r="M342" s="5">
        <v>7683.11</v>
      </c>
      <c r="N342" s="5">
        <v>25189.399999999998</v>
      </c>
      <c r="O342" s="5">
        <v>1250</v>
      </c>
      <c r="P342" s="8">
        <v>2.7493400000000001E-2</v>
      </c>
      <c r="Q342" s="8">
        <v>0.86092500000000005</v>
      </c>
      <c r="R342" s="8">
        <v>4.5877300000000003E-2</v>
      </c>
      <c r="S342" s="8">
        <f>Tabelle1[[#This Row],[corr_x]]/1000</f>
        <v>6.0912100000000002</v>
      </c>
      <c r="T342" s="8">
        <f>Tabelle1[[#This Row],[corr_y]]/1000</f>
        <v>16.734100000000002</v>
      </c>
      <c r="U342" s="8">
        <f>Tabelle1[[#This Row],[corr_z]]/1000</f>
        <v>1.05</v>
      </c>
      <c r="V342" s="8">
        <f>Tabelle1[[#This Row],[corr_soma_x]]/1000</f>
        <v>7.6831100000000001</v>
      </c>
      <c r="W342" s="8">
        <f>Tabelle1[[#This Row],[corr_soma_y]]/1000</f>
        <v>25.189399999999999</v>
      </c>
      <c r="X342" s="8">
        <f>Tabelle1[[#This Row],[corr_soma_z]]/1000</f>
        <v>1.25</v>
      </c>
    </row>
    <row r="343" spans="1:24" x14ac:dyDescent="0.35">
      <c r="A343" s="7" t="s">
        <v>15</v>
      </c>
      <c r="B343" s="7" t="s">
        <v>18</v>
      </c>
      <c r="C343" s="6">
        <v>4</v>
      </c>
      <c r="D343" s="5">
        <v>6307.5</v>
      </c>
      <c r="E343" s="5">
        <v>16519.7</v>
      </c>
      <c r="F343" s="5">
        <v>1450</v>
      </c>
      <c r="G343" s="5">
        <v>7683.11</v>
      </c>
      <c r="H343" s="5">
        <v>25189.399999999998</v>
      </c>
      <c r="I343" s="5">
        <v>1250</v>
      </c>
      <c r="J343" s="5">
        <v>6307.5</v>
      </c>
      <c r="K343" s="5">
        <v>16519.7</v>
      </c>
      <c r="L343" s="5">
        <v>1450</v>
      </c>
      <c r="M343" s="5">
        <v>7683.11</v>
      </c>
      <c r="N343" s="5">
        <v>25189.399999999998</v>
      </c>
      <c r="O343" s="5">
        <v>1250</v>
      </c>
      <c r="P343" s="8">
        <v>5.59032E-2</v>
      </c>
      <c r="Q343" s="8">
        <v>1.1468100000000001</v>
      </c>
      <c r="R343" s="8">
        <v>7.7834200000000006E-2</v>
      </c>
      <c r="S343" s="8">
        <f>Tabelle1[[#This Row],[corr_x]]/1000</f>
        <v>6.3075000000000001</v>
      </c>
      <c r="T343" s="8">
        <f>Tabelle1[[#This Row],[corr_y]]/1000</f>
        <v>16.5197</v>
      </c>
      <c r="U343" s="8">
        <f>Tabelle1[[#This Row],[corr_z]]/1000</f>
        <v>1.45</v>
      </c>
      <c r="V343" s="8">
        <f>Tabelle1[[#This Row],[corr_soma_x]]/1000</f>
        <v>7.6831100000000001</v>
      </c>
      <c r="W343" s="8">
        <f>Tabelle1[[#This Row],[corr_soma_y]]/1000</f>
        <v>25.189399999999999</v>
      </c>
      <c r="X343" s="8">
        <f>Tabelle1[[#This Row],[corr_soma_z]]/1000</f>
        <v>1.25</v>
      </c>
    </row>
    <row r="344" spans="1:24" x14ac:dyDescent="0.35">
      <c r="A344" s="7" t="s">
        <v>15</v>
      </c>
      <c r="B344" s="7" t="s">
        <v>18</v>
      </c>
      <c r="C344" s="6">
        <v>5</v>
      </c>
      <c r="D344" s="5">
        <v>5123.46</v>
      </c>
      <c r="E344" s="5">
        <v>16916</v>
      </c>
      <c r="F344" s="5">
        <v>1300</v>
      </c>
      <c r="G344" s="5">
        <v>7683.11</v>
      </c>
      <c r="H344" s="5">
        <v>25189.399999999998</v>
      </c>
      <c r="I344" s="5">
        <v>1250</v>
      </c>
      <c r="J344" s="5">
        <v>5123.46</v>
      </c>
      <c r="K344" s="5">
        <v>16916</v>
      </c>
      <c r="L344" s="5">
        <v>1300</v>
      </c>
      <c r="M344" s="5">
        <v>7683.11</v>
      </c>
      <c r="N344" s="5">
        <v>25189.399999999998</v>
      </c>
      <c r="O344" s="5">
        <v>1250</v>
      </c>
      <c r="P344" s="8">
        <v>3.01938E-2</v>
      </c>
      <c r="Q344" s="8">
        <v>0.67713000000000001</v>
      </c>
      <c r="R344" s="8">
        <v>3.3531199999999997E-2</v>
      </c>
      <c r="S344" s="8">
        <f>Tabelle1[[#This Row],[corr_x]]/1000</f>
        <v>5.1234599999999997</v>
      </c>
      <c r="T344" s="8">
        <f>Tabelle1[[#This Row],[corr_y]]/1000</f>
        <v>16.916</v>
      </c>
      <c r="U344" s="8">
        <f>Tabelle1[[#This Row],[corr_z]]/1000</f>
        <v>1.3</v>
      </c>
      <c r="V344" s="8">
        <f>Tabelle1[[#This Row],[corr_soma_x]]/1000</f>
        <v>7.6831100000000001</v>
      </c>
      <c r="W344" s="8">
        <f>Tabelle1[[#This Row],[corr_soma_y]]/1000</f>
        <v>25.189399999999999</v>
      </c>
      <c r="X344" s="8">
        <f>Tabelle1[[#This Row],[corr_soma_z]]/1000</f>
        <v>1.25</v>
      </c>
    </row>
    <row r="345" spans="1:24" x14ac:dyDescent="0.35">
      <c r="A345" s="7" t="s">
        <v>15</v>
      </c>
      <c r="B345" s="7" t="s">
        <v>18</v>
      </c>
      <c r="C345" s="6">
        <v>6</v>
      </c>
      <c r="D345" s="5">
        <v>5687.33</v>
      </c>
      <c r="E345" s="5">
        <v>16373.5</v>
      </c>
      <c r="F345" s="5">
        <v>2225</v>
      </c>
      <c r="G345" s="5">
        <v>7683.11</v>
      </c>
      <c r="H345" s="5">
        <v>25189.399999999998</v>
      </c>
      <c r="I345" s="5">
        <v>1250</v>
      </c>
      <c r="J345" s="5">
        <v>5687.33</v>
      </c>
      <c r="K345" s="5">
        <v>16373.5</v>
      </c>
      <c r="L345" s="5">
        <v>2225</v>
      </c>
      <c r="M345" s="5">
        <v>7683.11</v>
      </c>
      <c r="N345" s="5">
        <v>25189.399999999998</v>
      </c>
      <c r="O345" s="5">
        <v>1250</v>
      </c>
      <c r="P345" s="8">
        <v>0.11615300000000001</v>
      </c>
      <c r="Q345" s="8">
        <v>2.0242499999999999</v>
      </c>
      <c r="R345" s="8">
        <v>0.144789</v>
      </c>
      <c r="S345" s="8">
        <f>Tabelle1[[#This Row],[corr_x]]/1000</f>
        <v>5.6873300000000002</v>
      </c>
      <c r="T345" s="8">
        <f>Tabelle1[[#This Row],[corr_y]]/1000</f>
        <v>16.3735</v>
      </c>
      <c r="U345" s="8">
        <f>Tabelle1[[#This Row],[corr_z]]/1000</f>
        <v>2.2250000000000001</v>
      </c>
      <c r="V345" s="8">
        <f>Tabelle1[[#This Row],[corr_soma_x]]/1000</f>
        <v>7.6831100000000001</v>
      </c>
      <c r="W345" s="8">
        <f>Tabelle1[[#This Row],[corr_soma_y]]/1000</f>
        <v>25.189399999999999</v>
      </c>
      <c r="X345" s="8">
        <f>Tabelle1[[#This Row],[corr_soma_z]]/1000</f>
        <v>1.25</v>
      </c>
    </row>
    <row r="346" spans="1:24" x14ac:dyDescent="0.35">
      <c r="A346" s="7" t="s">
        <v>15</v>
      </c>
      <c r="B346" s="7" t="s">
        <v>18</v>
      </c>
      <c r="C346" s="6">
        <v>7</v>
      </c>
      <c r="D346" s="5">
        <v>6968.7599999999993</v>
      </c>
      <c r="E346" s="5">
        <v>15798.7</v>
      </c>
      <c r="F346" s="5">
        <v>2200</v>
      </c>
      <c r="G346" s="5">
        <v>7683.11</v>
      </c>
      <c r="H346" s="5">
        <v>25189.399999999998</v>
      </c>
      <c r="I346" s="5">
        <v>1250</v>
      </c>
      <c r="J346" s="5">
        <v>6968.7599999999993</v>
      </c>
      <c r="K346" s="5">
        <v>15798.7</v>
      </c>
      <c r="L346" s="5">
        <v>2200</v>
      </c>
      <c r="M346" s="5">
        <v>7683.11</v>
      </c>
      <c r="N346" s="5">
        <v>25189.399999999998</v>
      </c>
      <c r="O346" s="5">
        <v>1250</v>
      </c>
      <c r="P346" s="8">
        <v>3.8139699999999999E-2</v>
      </c>
      <c r="Q346" s="8">
        <v>1.14761</v>
      </c>
      <c r="R346" s="8">
        <v>0.126835</v>
      </c>
      <c r="S346" s="8">
        <f>Tabelle1[[#This Row],[corr_x]]/1000</f>
        <v>6.9687599999999996</v>
      </c>
      <c r="T346" s="8">
        <f>Tabelle1[[#This Row],[corr_y]]/1000</f>
        <v>15.7987</v>
      </c>
      <c r="U346" s="8">
        <f>Tabelle1[[#This Row],[corr_z]]/1000</f>
        <v>2.2000000000000002</v>
      </c>
      <c r="V346" s="8">
        <f>Tabelle1[[#This Row],[corr_soma_x]]/1000</f>
        <v>7.6831100000000001</v>
      </c>
      <c r="W346" s="8">
        <f>Tabelle1[[#This Row],[corr_soma_y]]/1000</f>
        <v>25.189399999999999</v>
      </c>
      <c r="X346" s="8">
        <f>Tabelle1[[#This Row],[corr_soma_z]]/1000</f>
        <v>1.25</v>
      </c>
    </row>
    <row r="347" spans="1:24" x14ac:dyDescent="0.35">
      <c r="A347" s="7" t="s">
        <v>15</v>
      </c>
      <c r="B347" s="7" t="s">
        <v>18</v>
      </c>
      <c r="C347" s="6">
        <v>8</v>
      </c>
      <c r="D347" s="5">
        <v>6510.08</v>
      </c>
      <c r="E347" s="5">
        <v>15414.9</v>
      </c>
      <c r="F347" s="5">
        <v>2450</v>
      </c>
      <c r="G347" s="5">
        <v>7683.11</v>
      </c>
      <c r="H347" s="5">
        <v>25189.399999999998</v>
      </c>
      <c r="I347" s="5">
        <v>1250</v>
      </c>
      <c r="J347" s="5">
        <v>6510.08</v>
      </c>
      <c r="K347" s="5">
        <v>15414.9</v>
      </c>
      <c r="L347" s="5">
        <v>2450</v>
      </c>
      <c r="M347" s="5">
        <v>7683.11</v>
      </c>
      <c r="N347" s="5">
        <v>25189.399999999998</v>
      </c>
      <c r="O347" s="5">
        <v>1250</v>
      </c>
      <c r="P347" s="8">
        <v>3.36983E-2</v>
      </c>
      <c r="Q347" s="8">
        <v>1.5622100000000001</v>
      </c>
      <c r="R347" s="8">
        <v>0.106558</v>
      </c>
      <c r="S347" s="8">
        <f>Tabelle1[[#This Row],[corr_x]]/1000</f>
        <v>6.5100800000000003</v>
      </c>
      <c r="T347" s="8">
        <f>Tabelle1[[#This Row],[corr_y]]/1000</f>
        <v>15.414899999999999</v>
      </c>
      <c r="U347" s="8">
        <f>Tabelle1[[#This Row],[corr_z]]/1000</f>
        <v>2.4500000000000002</v>
      </c>
      <c r="V347" s="8">
        <f>Tabelle1[[#This Row],[corr_soma_x]]/1000</f>
        <v>7.6831100000000001</v>
      </c>
      <c r="W347" s="8">
        <f>Tabelle1[[#This Row],[corr_soma_y]]/1000</f>
        <v>25.189399999999999</v>
      </c>
      <c r="X347" s="8">
        <f>Tabelle1[[#This Row],[corr_soma_z]]/1000</f>
        <v>1.25</v>
      </c>
    </row>
    <row r="348" spans="1:24" x14ac:dyDescent="0.35">
      <c r="A348" s="7" t="s">
        <v>15</v>
      </c>
      <c r="B348" s="7" t="s">
        <v>18</v>
      </c>
      <c r="C348" s="6">
        <v>9</v>
      </c>
      <c r="D348" s="5">
        <v>6276.12</v>
      </c>
      <c r="E348" s="5">
        <v>16549.800000000003</v>
      </c>
      <c r="F348" s="5">
        <v>2250</v>
      </c>
      <c r="G348" s="5">
        <v>7683.11</v>
      </c>
      <c r="H348" s="5">
        <v>25189.399999999998</v>
      </c>
      <c r="I348" s="5">
        <v>1250</v>
      </c>
      <c r="J348" s="5">
        <v>6276.12</v>
      </c>
      <c r="K348" s="5">
        <v>16549.800000000003</v>
      </c>
      <c r="L348" s="5">
        <v>2250</v>
      </c>
      <c r="M348" s="5">
        <v>7683.11</v>
      </c>
      <c r="N348" s="5">
        <v>25189.399999999998</v>
      </c>
      <c r="O348" s="5">
        <v>1250</v>
      </c>
      <c r="P348" s="8">
        <v>3.7966899999999998E-2</v>
      </c>
      <c r="Q348" s="8">
        <v>1.97262</v>
      </c>
      <c r="R348" s="8">
        <v>0.12433</v>
      </c>
      <c r="S348" s="8">
        <f>Tabelle1[[#This Row],[corr_x]]/1000</f>
        <v>6.2761199999999997</v>
      </c>
      <c r="T348" s="8">
        <f>Tabelle1[[#This Row],[corr_y]]/1000</f>
        <v>16.549800000000001</v>
      </c>
      <c r="U348" s="8">
        <f>Tabelle1[[#This Row],[corr_z]]/1000</f>
        <v>2.25</v>
      </c>
      <c r="V348" s="8">
        <f>Tabelle1[[#This Row],[corr_soma_x]]/1000</f>
        <v>7.6831100000000001</v>
      </c>
      <c r="W348" s="8">
        <f>Tabelle1[[#This Row],[corr_soma_y]]/1000</f>
        <v>25.189399999999999</v>
      </c>
      <c r="X348" s="8">
        <f>Tabelle1[[#This Row],[corr_soma_z]]/1000</f>
        <v>1.25</v>
      </c>
    </row>
    <row r="349" spans="1:24" x14ac:dyDescent="0.35">
      <c r="A349" s="7" t="s">
        <v>15</v>
      </c>
      <c r="B349" s="7" t="s">
        <v>18</v>
      </c>
      <c r="C349" s="6">
        <v>10</v>
      </c>
      <c r="D349" s="5">
        <v>6302.0450000000001</v>
      </c>
      <c r="E349" s="5">
        <v>16459.249999999996</v>
      </c>
      <c r="F349" s="5">
        <v>3075</v>
      </c>
      <c r="G349" s="5">
        <v>7683.11</v>
      </c>
      <c r="H349" s="5">
        <v>25189.399999999998</v>
      </c>
      <c r="I349" s="5">
        <v>1250</v>
      </c>
      <c r="J349" s="5">
        <v>6302.0450000000001</v>
      </c>
      <c r="K349" s="5">
        <v>16459.249999999996</v>
      </c>
      <c r="L349" s="5">
        <v>3075</v>
      </c>
      <c r="M349" s="5">
        <v>7683.11</v>
      </c>
      <c r="N349" s="5">
        <v>25189.399999999998</v>
      </c>
      <c r="O349" s="5">
        <v>1250</v>
      </c>
      <c r="P349" s="8">
        <v>0.10759299999999999</v>
      </c>
      <c r="Q349" s="8">
        <v>2.8836300000000001</v>
      </c>
      <c r="R349" s="8">
        <v>0.169768</v>
      </c>
      <c r="S349" s="8">
        <f>Tabelle1[[#This Row],[corr_x]]/1000</f>
        <v>6.3020449999999997</v>
      </c>
      <c r="T349" s="8">
        <f>Tabelle1[[#This Row],[corr_y]]/1000</f>
        <v>16.459249999999997</v>
      </c>
      <c r="U349" s="8">
        <f>Tabelle1[[#This Row],[corr_z]]/1000</f>
        <v>3.0750000000000002</v>
      </c>
      <c r="V349" s="8">
        <f>Tabelle1[[#This Row],[corr_soma_x]]/1000</f>
        <v>7.6831100000000001</v>
      </c>
      <c r="W349" s="8">
        <f>Tabelle1[[#This Row],[corr_soma_y]]/1000</f>
        <v>25.189399999999999</v>
      </c>
      <c r="X349" s="8">
        <f>Tabelle1[[#This Row],[corr_soma_z]]/1000</f>
        <v>1.25</v>
      </c>
    </row>
    <row r="350" spans="1:24" x14ac:dyDescent="0.35">
      <c r="A350" s="7" t="s">
        <v>15</v>
      </c>
      <c r="B350" s="7" t="s">
        <v>19</v>
      </c>
      <c r="C350" s="6">
        <v>3</v>
      </c>
      <c r="D350" s="5">
        <v>6708.55</v>
      </c>
      <c r="E350" s="5">
        <v>16037.7</v>
      </c>
      <c r="F350" s="5">
        <v>3150</v>
      </c>
      <c r="G350" s="5">
        <v>7683.11</v>
      </c>
      <c r="H350" s="5">
        <v>25189.399999999998</v>
      </c>
      <c r="I350" s="5">
        <v>1250</v>
      </c>
      <c r="J350" s="5">
        <v>6708.55</v>
      </c>
      <c r="K350" s="5">
        <v>16037.7</v>
      </c>
      <c r="L350" s="5">
        <v>3150</v>
      </c>
      <c r="M350" s="5">
        <v>7683.11</v>
      </c>
      <c r="N350" s="5">
        <v>25189.399999999998</v>
      </c>
      <c r="O350" s="5">
        <v>1250</v>
      </c>
      <c r="P350" s="8">
        <v>2.76484E-2</v>
      </c>
      <c r="Q350" s="8">
        <v>2.8617599999999999</v>
      </c>
      <c r="R350" s="8">
        <v>0.34063100000000002</v>
      </c>
      <c r="S350" s="8">
        <f>Tabelle1[[#This Row],[corr_x]]/1000</f>
        <v>6.7085499999999998</v>
      </c>
      <c r="T350" s="8">
        <f>Tabelle1[[#This Row],[corr_y]]/1000</f>
        <v>16.037700000000001</v>
      </c>
      <c r="U350" s="8">
        <f>Tabelle1[[#This Row],[corr_z]]/1000</f>
        <v>3.15</v>
      </c>
      <c r="V350" s="8">
        <f>Tabelle1[[#This Row],[corr_soma_x]]/1000</f>
        <v>7.6831100000000001</v>
      </c>
      <c r="W350" s="8">
        <f>Tabelle1[[#This Row],[corr_soma_y]]/1000</f>
        <v>25.189399999999999</v>
      </c>
      <c r="X350" s="8">
        <f>Tabelle1[[#This Row],[corr_soma_z]]/1000</f>
        <v>1.25</v>
      </c>
    </row>
    <row r="351" spans="1:24" x14ac:dyDescent="0.35">
      <c r="A351" s="7" t="s">
        <v>15</v>
      </c>
      <c r="B351" s="7" t="s">
        <v>18</v>
      </c>
      <c r="C351" s="6">
        <v>11</v>
      </c>
      <c r="D351" s="5">
        <v>6117.7</v>
      </c>
      <c r="E351" s="5">
        <v>15422.599999999999</v>
      </c>
      <c r="F351" s="5">
        <v>3300</v>
      </c>
      <c r="G351" s="5">
        <v>7683.11</v>
      </c>
      <c r="H351" s="5">
        <v>25189.399999999998</v>
      </c>
      <c r="I351" s="5">
        <v>1250</v>
      </c>
      <c r="J351" s="5">
        <v>6117.7</v>
      </c>
      <c r="K351" s="5">
        <v>15422.599999999999</v>
      </c>
      <c r="L351" s="5">
        <v>3300</v>
      </c>
      <c r="M351" s="5">
        <v>7683.11</v>
      </c>
      <c r="N351" s="5">
        <v>25189.399999999998</v>
      </c>
      <c r="O351" s="5">
        <v>1250</v>
      </c>
      <c r="P351" s="8">
        <v>5.6505199999999998E-2</v>
      </c>
      <c r="Q351" s="8">
        <v>2.2736800000000001</v>
      </c>
      <c r="R351" s="8">
        <v>0.17224600000000001</v>
      </c>
      <c r="S351" s="8">
        <f>Tabelle1[[#This Row],[corr_x]]/1000</f>
        <v>6.1177000000000001</v>
      </c>
      <c r="T351" s="8">
        <f>Tabelle1[[#This Row],[corr_y]]/1000</f>
        <v>15.422599999999999</v>
      </c>
      <c r="U351" s="8">
        <f>Tabelle1[[#This Row],[corr_z]]/1000</f>
        <v>3.3</v>
      </c>
      <c r="V351" s="8">
        <f>Tabelle1[[#This Row],[corr_soma_x]]/1000</f>
        <v>7.6831100000000001</v>
      </c>
      <c r="W351" s="8">
        <f>Tabelle1[[#This Row],[corr_soma_y]]/1000</f>
        <v>25.189399999999999</v>
      </c>
      <c r="X351" s="8">
        <f>Tabelle1[[#This Row],[corr_soma_z]]/1000</f>
        <v>1.25</v>
      </c>
    </row>
    <row r="352" spans="1:24" x14ac:dyDescent="0.35">
      <c r="A352" s="7" t="s">
        <v>15</v>
      </c>
      <c r="B352" s="7" t="s">
        <v>18</v>
      </c>
      <c r="C352" s="6">
        <v>12</v>
      </c>
      <c r="D352" s="5">
        <v>7236.6399999999994</v>
      </c>
      <c r="E352" s="5">
        <v>15363.6</v>
      </c>
      <c r="F352" s="5">
        <v>3825</v>
      </c>
      <c r="G352" s="5">
        <v>7683.11</v>
      </c>
      <c r="H352" s="5">
        <v>25189.399999999998</v>
      </c>
      <c r="I352" s="5">
        <v>1250</v>
      </c>
      <c r="J352" s="5">
        <v>7236.6399999999994</v>
      </c>
      <c r="K352" s="5">
        <v>15363.6</v>
      </c>
      <c r="L352" s="5">
        <v>3825</v>
      </c>
      <c r="M352" s="5">
        <v>7683.11</v>
      </c>
      <c r="N352" s="5">
        <v>25189.399999999998</v>
      </c>
      <c r="O352" s="5">
        <v>1250</v>
      </c>
      <c r="P352" s="8">
        <v>7.8977199999999997E-2</v>
      </c>
      <c r="Q352" s="8">
        <v>1.4569099999999999</v>
      </c>
      <c r="R352" s="8">
        <v>0.119967</v>
      </c>
      <c r="S352" s="8">
        <f>Tabelle1[[#This Row],[corr_x]]/1000</f>
        <v>7.2366399999999995</v>
      </c>
      <c r="T352" s="8">
        <f>Tabelle1[[#This Row],[corr_y]]/1000</f>
        <v>15.3636</v>
      </c>
      <c r="U352" s="8">
        <f>Tabelle1[[#This Row],[corr_z]]/1000</f>
        <v>3.8250000000000002</v>
      </c>
      <c r="V352" s="8">
        <f>Tabelle1[[#This Row],[corr_soma_x]]/1000</f>
        <v>7.6831100000000001</v>
      </c>
      <c r="W352" s="8">
        <f>Tabelle1[[#This Row],[corr_soma_y]]/1000</f>
        <v>25.189399999999999</v>
      </c>
      <c r="X352" s="8">
        <f>Tabelle1[[#This Row],[corr_soma_z]]/1000</f>
        <v>1.25</v>
      </c>
    </row>
    <row r="353" spans="1:24" x14ac:dyDescent="0.35">
      <c r="A353" s="7" t="s">
        <v>15</v>
      </c>
      <c r="B353" s="7" t="s">
        <v>19</v>
      </c>
      <c r="C353" s="6">
        <v>4</v>
      </c>
      <c r="D353" s="5">
        <v>7082.19</v>
      </c>
      <c r="E353" s="5">
        <v>14795.75</v>
      </c>
      <c r="F353" s="5">
        <v>3875</v>
      </c>
      <c r="G353" s="5">
        <v>7683.11</v>
      </c>
      <c r="H353" s="5">
        <v>25189.399999999998</v>
      </c>
      <c r="I353" s="5">
        <v>1250</v>
      </c>
      <c r="J353" s="5">
        <v>7082.19</v>
      </c>
      <c r="K353" s="5">
        <v>14795.75</v>
      </c>
      <c r="L353" s="5">
        <v>3875</v>
      </c>
      <c r="M353" s="5">
        <v>7683.11</v>
      </c>
      <c r="N353" s="5">
        <v>25189.399999999998</v>
      </c>
      <c r="O353" s="5">
        <v>1250</v>
      </c>
      <c r="P353" s="8">
        <v>6.0143200000000001E-2</v>
      </c>
      <c r="Q353" s="8">
        <v>2.1982200000000001</v>
      </c>
      <c r="R353" s="8">
        <v>0.169075</v>
      </c>
      <c r="S353" s="8">
        <f>Tabelle1[[#This Row],[corr_x]]/1000</f>
        <v>7.0821899999999998</v>
      </c>
      <c r="T353" s="8">
        <f>Tabelle1[[#This Row],[corr_y]]/1000</f>
        <v>14.79575</v>
      </c>
      <c r="U353" s="8">
        <f>Tabelle1[[#This Row],[corr_z]]/1000</f>
        <v>3.875</v>
      </c>
      <c r="V353" s="8">
        <f>Tabelle1[[#This Row],[corr_soma_x]]/1000</f>
        <v>7.6831100000000001</v>
      </c>
      <c r="W353" s="8">
        <f>Tabelle1[[#This Row],[corr_soma_y]]/1000</f>
        <v>25.189399999999999</v>
      </c>
      <c r="X353" s="8">
        <f>Tabelle1[[#This Row],[corr_soma_z]]/1000</f>
        <v>1.25</v>
      </c>
    </row>
    <row r="354" spans="1:24" x14ac:dyDescent="0.35">
      <c r="A354" s="7" t="s">
        <v>15</v>
      </c>
      <c r="B354" s="7" t="s">
        <v>18</v>
      </c>
      <c r="C354" s="6">
        <v>13</v>
      </c>
      <c r="D354" s="5">
        <v>6606.4100000000008</v>
      </c>
      <c r="E354" s="5">
        <v>14792.1</v>
      </c>
      <c r="F354" s="5">
        <v>3750</v>
      </c>
      <c r="G354" s="5">
        <v>7683.11</v>
      </c>
      <c r="H354" s="5">
        <v>25189.399999999998</v>
      </c>
      <c r="I354" s="5">
        <v>1250</v>
      </c>
      <c r="J354" s="5">
        <v>6606.4100000000008</v>
      </c>
      <c r="K354" s="5">
        <v>14792.1</v>
      </c>
      <c r="L354" s="5">
        <v>3750</v>
      </c>
      <c r="M354" s="5">
        <v>7683.11</v>
      </c>
      <c r="N354" s="5">
        <v>25189.399999999998</v>
      </c>
      <c r="O354" s="5">
        <v>1250</v>
      </c>
      <c r="P354" s="8">
        <v>4.95786E-2</v>
      </c>
      <c r="Q354" s="8">
        <v>0.974194</v>
      </c>
      <c r="R354" s="8">
        <v>4.7053699999999997E-2</v>
      </c>
      <c r="S354" s="8">
        <f>Tabelle1[[#This Row],[corr_x]]/1000</f>
        <v>6.6064100000000003</v>
      </c>
      <c r="T354" s="8">
        <f>Tabelle1[[#This Row],[corr_y]]/1000</f>
        <v>14.7921</v>
      </c>
      <c r="U354" s="8">
        <f>Tabelle1[[#This Row],[corr_z]]/1000</f>
        <v>3.75</v>
      </c>
      <c r="V354" s="8">
        <f>Tabelle1[[#This Row],[corr_soma_x]]/1000</f>
        <v>7.6831100000000001</v>
      </c>
      <c r="W354" s="8">
        <f>Tabelle1[[#This Row],[corr_soma_y]]/1000</f>
        <v>25.189399999999999</v>
      </c>
      <c r="X354" s="8">
        <f>Tabelle1[[#This Row],[corr_soma_z]]/1000</f>
        <v>1.25</v>
      </c>
    </row>
    <row r="355" spans="1:24" x14ac:dyDescent="0.35">
      <c r="A355" s="7" t="s">
        <v>15</v>
      </c>
      <c r="B355" s="7" t="s">
        <v>18</v>
      </c>
      <c r="C355" s="6">
        <v>14</v>
      </c>
      <c r="D355" s="5">
        <v>6071.4350000000004</v>
      </c>
      <c r="E355" s="5">
        <v>15179.400000000001</v>
      </c>
      <c r="F355" s="5">
        <v>4125</v>
      </c>
      <c r="G355" s="5">
        <v>7683.11</v>
      </c>
      <c r="H355" s="5">
        <v>25189.399999999998</v>
      </c>
      <c r="I355" s="5">
        <v>1250</v>
      </c>
      <c r="J355" s="5">
        <v>6071.4350000000004</v>
      </c>
      <c r="K355" s="5">
        <v>15179.400000000001</v>
      </c>
      <c r="L355" s="5">
        <v>4125</v>
      </c>
      <c r="M355" s="5">
        <v>7683.11</v>
      </c>
      <c r="N355" s="5">
        <v>25189.399999999998</v>
      </c>
      <c r="O355" s="5">
        <v>1250</v>
      </c>
      <c r="P355" s="8">
        <v>0.15138199999999999</v>
      </c>
      <c r="Q355" s="8">
        <v>1.7118800000000001</v>
      </c>
      <c r="R355" s="8">
        <v>0.142959</v>
      </c>
      <c r="S355" s="8">
        <f>Tabelle1[[#This Row],[corr_x]]/1000</f>
        <v>6.0714350000000001</v>
      </c>
      <c r="T355" s="8">
        <f>Tabelle1[[#This Row],[corr_y]]/1000</f>
        <v>15.179400000000001</v>
      </c>
      <c r="U355" s="8">
        <f>Tabelle1[[#This Row],[corr_z]]/1000</f>
        <v>4.125</v>
      </c>
      <c r="V355" s="8">
        <f>Tabelle1[[#This Row],[corr_soma_x]]/1000</f>
        <v>7.6831100000000001</v>
      </c>
      <c r="W355" s="8">
        <f>Tabelle1[[#This Row],[corr_soma_y]]/1000</f>
        <v>25.189399999999999</v>
      </c>
      <c r="X355" s="8">
        <f>Tabelle1[[#This Row],[corr_soma_z]]/1000</f>
        <v>1.25</v>
      </c>
    </row>
    <row r="356" spans="1:24" x14ac:dyDescent="0.35">
      <c r="A356" s="7" t="s">
        <v>15</v>
      </c>
      <c r="B356" s="7" t="s">
        <v>18</v>
      </c>
      <c r="C356" s="6">
        <v>15</v>
      </c>
      <c r="D356" s="5">
        <v>6386.4599999999991</v>
      </c>
      <c r="E356" s="5">
        <v>16323.599999999999</v>
      </c>
      <c r="F356" s="5">
        <v>4250</v>
      </c>
      <c r="G356" s="5">
        <v>7683.11</v>
      </c>
      <c r="H356" s="5">
        <v>25189.399999999998</v>
      </c>
      <c r="I356" s="5">
        <v>1250</v>
      </c>
      <c r="J356" s="5">
        <v>6386.4599999999991</v>
      </c>
      <c r="K356" s="5">
        <v>16323.599999999999</v>
      </c>
      <c r="L356" s="5">
        <v>4250</v>
      </c>
      <c r="M356" s="5">
        <v>7683.11</v>
      </c>
      <c r="N356" s="5">
        <v>25189.399999999998</v>
      </c>
      <c r="O356" s="5">
        <v>1250</v>
      </c>
      <c r="P356" s="8">
        <v>8.3774100000000004E-2</v>
      </c>
      <c r="Q356" s="8">
        <v>1.9648300000000001</v>
      </c>
      <c r="R356" s="8">
        <v>0.12856500000000001</v>
      </c>
      <c r="S356" s="8">
        <f>Tabelle1[[#This Row],[corr_x]]/1000</f>
        <v>6.3864599999999987</v>
      </c>
      <c r="T356" s="8">
        <f>Tabelle1[[#This Row],[corr_y]]/1000</f>
        <v>16.323599999999999</v>
      </c>
      <c r="U356" s="8">
        <f>Tabelle1[[#This Row],[corr_z]]/1000</f>
        <v>4.25</v>
      </c>
      <c r="V356" s="8">
        <f>Tabelle1[[#This Row],[corr_soma_x]]/1000</f>
        <v>7.6831100000000001</v>
      </c>
      <c r="W356" s="8">
        <f>Tabelle1[[#This Row],[corr_soma_y]]/1000</f>
        <v>25.189399999999999</v>
      </c>
      <c r="X356" s="8">
        <f>Tabelle1[[#This Row],[corr_soma_z]]/1000</f>
        <v>1.25</v>
      </c>
    </row>
    <row r="357" spans="1:24" x14ac:dyDescent="0.35">
      <c r="A357" s="7" t="s">
        <v>15</v>
      </c>
      <c r="B357" s="7" t="s">
        <v>19</v>
      </c>
      <c r="C357" s="6">
        <v>5</v>
      </c>
      <c r="D357" s="5">
        <v>6036.0300000000007</v>
      </c>
      <c r="E357" s="5">
        <v>16579.899999999998</v>
      </c>
      <c r="F357" s="5">
        <v>2900</v>
      </c>
      <c r="G357" s="5">
        <v>7683.11</v>
      </c>
      <c r="H357" s="5">
        <v>25189.399999999998</v>
      </c>
      <c r="I357" s="5">
        <v>1250</v>
      </c>
      <c r="J357" s="5">
        <v>6036.0300000000007</v>
      </c>
      <c r="K357" s="5">
        <v>16579.899999999998</v>
      </c>
      <c r="L357" s="5">
        <v>2900</v>
      </c>
      <c r="M357" s="5">
        <v>7683.11</v>
      </c>
      <c r="N357" s="5">
        <v>25189.399999999998</v>
      </c>
      <c r="O357" s="5">
        <v>1250</v>
      </c>
      <c r="P357" s="8">
        <v>3.51635E-2</v>
      </c>
      <c r="Q357" s="8">
        <v>3.3480400000000001</v>
      </c>
      <c r="R357" s="8">
        <v>0.23694799999999999</v>
      </c>
      <c r="S357" s="8">
        <f>Tabelle1[[#This Row],[corr_x]]/1000</f>
        <v>6.0360300000000002</v>
      </c>
      <c r="T357" s="8">
        <f>Tabelle1[[#This Row],[corr_y]]/1000</f>
        <v>16.579899999999999</v>
      </c>
      <c r="U357" s="8">
        <f>Tabelle1[[#This Row],[corr_z]]/1000</f>
        <v>2.9</v>
      </c>
      <c r="V357" s="8">
        <f>Tabelle1[[#This Row],[corr_soma_x]]/1000</f>
        <v>7.6831100000000001</v>
      </c>
      <c r="W357" s="8">
        <f>Tabelle1[[#This Row],[corr_soma_y]]/1000</f>
        <v>25.189399999999999</v>
      </c>
      <c r="X357" s="8">
        <f>Tabelle1[[#This Row],[corr_soma_z]]/1000</f>
        <v>1.25</v>
      </c>
    </row>
    <row r="358" spans="1:24" x14ac:dyDescent="0.35">
      <c r="A358" s="7" t="s">
        <v>15</v>
      </c>
      <c r="B358" s="7" t="s">
        <v>18</v>
      </c>
      <c r="C358" s="6">
        <v>16</v>
      </c>
      <c r="D358" s="5">
        <v>5340.1149999999998</v>
      </c>
      <c r="E358" s="5">
        <v>13664.45</v>
      </c>
      <c r="F358" s="5">
        <v>4525</v>
      </c>
      <c r="G358" s="5">
        <v>7683.11</v>
      </c>
      <c r="H358" s="5">
        <v>25189.399999999998</v>
      </c>
      <c r="I358" s="5">
        <v>1250</v>
      </c>
      <c r="J358" s="5">
        <v>5340.1149999999998</v>
      </c>
      <c r="K358" s="5">
        <v>13664.45</v>
      </c>
      <c r="L358" s="5">
        <v>4525</v>
      </c>
      <c r="M358" s="5">
        <v>7683.11</v>
      </c>
      <c r="N358" s="5">
        <v>25189.399999999998</v>
      </c>
      <c r="O358" s="5">
        <v>1250</v>
      </c>
      <c r="P358" s="8">
        <v>4.2363900000000003E-2</v>
      </c>
      <c r="Q358" s="8">
        <v>0.87109599999999998</v>
      </c>
      <c r="R358" s="8">
        <v>5.0213899999999999E-2</v>
      </c>
      <c r="S358" s="8">
        <f>Tabelle1[[#This Row],[corr_x]]/1000</f>
        <v>5.3401149999999999</v>
      </c>
      <c r="T358" s="8">
        <f>Tabelle1[[#This Row],[corr_y]]/1000</f>
        <v>13.66445</v>
      </c>
      <c r="U358" s="8">
        <f>Tabelle1[[#This Row],[corr_z]]/1000</f>
        <v>4.5250000000000004</v>
      </c>
      <c r="V358" s="8">
        <f>Tabelle1[[#This Row],[corr_soma_x]]/1000</f>
        <v>7.6831100000000001</v>
      </c>
      <c r="W358" s="8">
        <f>Tabelle1[[#This Row],[corr_soma_y]]/1000</f>
        <v>25.189399999999999</v>
      </c>
      <c r="X358" s="8">
        <f>Tabelle1[[#This Row],[corr_soma_z]]/1000</f>
        <v>1.25</v>
      </c>
    </row>
    <row r="359" spans="1:24" x14ac:dyDescent="0.35">
      <c r="A359" s="7" t="s">
        <v>15</v>
      </c>
      <c r="B359" s="7" t="s">
        <v>18</v>
      </c>
      <c r="C359" s="6">
        <v>17</v>
      </c>
      <c r="D359" s="5">
        <v>5401.11</v>
      </c>
      <c r="E359" s="5">
        <v>12572.1</v>
      </c>
      <c r="F359" s="5">
        <v>4850</v>
      </c>
      <c r="G359" s="5">
        <v>7683.11</v>
      </c>
      <c r="H359" s="5">
        <v>25189.399999999998</v>
      </c>
      <c r="I359" s="5">
        <v>1250</v>
      </c>
      <c r="J359" s="5">
        <v>5401.11</v>
      </c>
      <c r="K359" s="5">
        <v>12572.1</v>
      </c>
      <c r="L359" s="5">
        <v>4850</v>
      </c>
      <c r="M359" s="5">
        <v>7683.11</v>
      </c>
      <c r="N359" s="5">
        <v>25189.399999999998</v>
      </c>
      <c r="O359" s="5">
        <v>1250</v>
      </c>
      <c r="P359" s="8">
        <v>5.88756E-2</v>
      </c>
      <c r="Q359" s="8">
        <v>1.2497</v>
      </c>
      <c r="R359" s="8">
        <v>8.3098900000000003E-2</v>
      </c>
      <c r="S359" s="8">
        <f>Tabelle1[[#This Row],[corr_x]]/1000</f>
        <v>5.4011100000000001</v>
      </c>
      <c r="T359" s="8">
        <f>Tabelle1[[#This Row],[corr_y]]/1000</f>
        <v>12.572100000000001</v>
      </c>
      <c r="U359" s="8">
        <f>Tabelle1[[#This Row],[corr_z]]/1000</f>
        <v>4.8499999999999996</v>
      </c>
      <c r="V359" s="8">
        <f>Tabelle1[[#This Row],[corr_soma_x]]/1000</f>
        <v>7.6831100000000001</v>
      </c>
      <c r="W359" s="8">
        <f>Tabelle1[[#This Row],[corr_soma_y]]/1000</f>
        <v>25.189399999999999</v>
      </c>
      <c r="X359" s="8">
        <f>Tabelle1[[#This Row],[corr_soma_z]]/1000</f>
        <v>1.25</v>
      </c>
    </row>
    <row r="360" spans="1:24" x14ac:dyDescent="0.35">
      <c r="A360" s="7" t="s">
        <v>15</v>
      </c>
      <c r="B360" s="7" t="s">
        <v>19</v>
      </c>
      <c r="C360" s="6">
        <v>6</v>
      </c>
      <c r="D360" s="5">
        <v>5706.04</v>
      </c>
      <c r="E360" s="5">
        <v>13485.2</v>
      </c>
      <c r="F360" s="5">
        <v>4700</v>
      </c>
      <c r="G360" s="5">
        <v>7683.11</v>
      </c>
      <c r="H360" s="5">
        <v>25189.399999999998</v>
      </c>
      <c r="I360" s="5">
        <v>1250</v>
      </c>
      <c r="J360" s="5">
        <v>5706.04</v>
      </c>
      <c r="K360" s="5">
        <v>13485.2</v>
      </c>
      <c r="L360" s="5">
        <v>4700</v>
      </c>
      <c r="M360" s="5">
        <v>7683.11</v>
      </c>
      <c r="N360" s="5">
        <v>25189.399999999998</v>
      </c>
      <c r="O360" s="5">
        <v>1250</v>
      </c>
      <c r="P360" s="8">
        <v>2.6330300000000001E-2</v>
      </c>
      <c r="Q360" s="8">
        <v>2.0251199999999998</v>
      </c>
      <c r="R360" s="8">
        <v>0.18855</v>
      </c>
      <c r="S360" s="8">
        <f>Tabelle1[[#This Row],[corr_x]]/1000</f>
        <v>5.7060399999999998</v>
      </c>
      <c r="T360" s="8">
        <f>Tabelle1[[#This Row],[corr_y]]/1000</f>
        <v>13.485200000000001</v>
      </c>
      <c r="U360" s="8">
        <f>Tabelle1[[#This Row],[corr_z]]/1000</f>
        <v>4.7</v>
      </c>
      <c r="V360" s="8">
        <f>Tabelle1[[#This Row],[corr_soma_x]]/1000</f>
        <v>7.6831100000000001</v>
      </c>
      <c r="W360" s="8">
        <f>Tabelle1[[#This Row],[corr_soma_y]]/1000</f>
        <v>25.189399999999999</v>
      </c>
      <c r="X360" s="8">
        <f>Tabelle1[[#This Row],[corr_soma_z]]/1000</f>
        <v>1.25</v>
      </c>
    </row>
    <row r="361" spans="1:24" x14ac:dyDescent="0.35">
      <c r="A361" s="7" t="s">
        <v>15</v>
      </c>
      <c r="B361" s="7" t="s">
        <v>19</v>
      </c>
      <c r="C361" s="6">
        <v>7</v>
      </c>
      <c r="D361" s="5">
        <v>6090</v>
      </c>
      <c r="E361" s="5">
        <v>16245.4</v>
      </c>
      <c r="F361" s="5">
        <v>4200</v>
      </c>
      <c r="G361" s="5">
        <v>7683.11</v>
      </c>
      <c r="H361" s="5">
        <v>25189.399999999998</v>
      </c>
      <c r="I361" s="5">
        <v>1250</v>
      </c>
      <c r="J361" s="5">
        <v>6090</v>
      </c>
      <c r="K361" s="5">
        <v>16245.4</v>
      </c>
      <c r="L361" s="5">
        <v>4200</v>
      </c>
      <c r="M361" s="5">
        <v>7683.11</v>
      </c>
      <c r="N361" s="5">
        <v>25189.399999999998</v>
      </c>
      <c r="O361" s="5">
        <v>1250</v>
      </c>
      <c r="P361" s="8">
        <v>2.8312299999999999E-2</v>
      </c>
      <c r="Q361" s="8">
        <v>1.38103</v>
      </c>
      <c r="R361" s="8">
        <v>0.14227699999999999</v>
      </c>
      <c r="S361" s="8">
        <f>Tabelle1[[#This Row],[corr_x]]/1000</f>
        <v>6.09</v>
      </c>
      <c r="T361" s="8">
        <f>Tabelle1[[#This Row],[corr_y]]/1000</f>
        <v>16.2454</v>
      </c>
      <c r="U361" s="8">
        <f>Tabelle1[[#This Row],[corr_z]]/1000</f>
        <v>4.2</v>
      </c>
      <c r="V361" s="8">
        <f>Tabelle1[[#This Row],[corr_soma_x]]/1000</f>
        <v>7.6831100000000001</v>
      </c>
      <c r="W361" s="8">
        <f>Tabelle1[[#This Row],[corr_soma_y]]/1000</f>
        <v>25.189399999999999</v>
      </c>
      <c r="X361" s="8">
        <f>Tabelle1[[#This Row],[corr_soma_z]]/1000</f>
        <v>1.25</v>
      </c>
    </row>
    <row r="362" spans="1:24" x14ac:dyDescent="0.35">
      <c r="A362" s="7" t="s">
        <v>15</v>
      </c>
      <c r="B362" s="7" t="s">
        <v>18</v>
      </c>
      <c r="C362" s="6">
        <v>18</v>
      </c>
      <c r="D362" s="5">
        <v>7006.96</v>
      </c>
      <c r="E362" s="5">
        <v>14799.399999999998</v>
      </c>
      <c r="F362" s="5">
        <v>4574.9999999999991</v>
      </c>
      <c r="G362" s="5">
        <v>7683.11</v>
      </c>
      <c r="H362" s="5">
        <v>25189.399999999998</v>
      </c>
      <c r="I362" s="5">
        <v>1250</v>
      </c>
      <c r="J362" s="5">
        <v>7006.96</v>
      </c>
      <c r="K362" s="5">
        <v>14799.399999999998</v>
      </c>
      <c r="L362" s="5">
        <v>4574.9999999999991</v>
      </c>
      <c r="M362" s="5">
        <v>7683.11</v>
      </c>
      <c r="N362" s="5">
        <v>25189.399999999998</v>
      </c>
      <c r="O362" s="5">
        <v>1250</v>
      </c>
      <c r="P362" s="8">
        <v>4.6775299999999999E-2</v>
      </c>
      <c r="Q362" s="8">
        <v>0.76393</v>
      </c>
      <c r="R362" s="8">
        <v>6.2233200000000002E-2</v>
      </c>
      <c r="S362" s="8">
        <f>Tabelle1[[#This Row],[corr_x]]/1000</f>
        <v>7.0069600000000003</v>
      </c>
      <c r="T362" s="8">
        <f>Tabelle1[[#This Row],[corr_y]]/1000</f>
        <v>14.799399999999999</v>
      </c>
      <c r="U362" s="8">
        <f>Tabelle1[[#This Row],[corr_z]]/1000</f>
        <v>4.5749999999999993</v>
      </c>
      <c r="V362" s="8">
        <f>Tabelle1[[#This Row],[corr_soma_x]]/1000</f>
        <v>7.6831100000000001</v>
      </c>
      <c r="W362" s="8">
        <f>Tabelle1[[#This Row],[corr_soma_y]]/1000</f>
        <v>25.189399999999999</v>
      </c>
      <c r="X362" s="8">
        <f>Tabelle1[[#This Row],[corr_soma_z]]/1000</f>
        <v>1.25</v>
      </c>
    </row>
    <row r="363" spans="1:24" x14ac:dyDescent="0.35">
      <c r="A363" s="7" t="s">
        <v>15</v>
      </c>
      <c r="B363" s="7" t="s">
        <v>19</v>
      </c>
      <c r="C363" s="6">
        <v>8</v>
      </c>
      <c r="D363" s="5">
        <v>5340.14</v>
      </c>
      <c r="E363" s="5">
        <v>12623.4</v>
      </c>
      <c r="F363" s="5">
        <v>4700</v>
      </c>
      <c r="G363" s="5">
        <v>7683.11</v>
      </c>
      <c r="H363" s="5">
        <v>25189.399999999998</v>
      </c>
      <c r="I363" s="5">
        <v>1250</v>
      </c>
      <c r="J363" s="5">
        <v>5340.14</v>
      </c>
      <c r="K363" s="5">
        <v>12623.4</v>
      </c>
      <c r="L363" s="5">
        <v>4700</v>
      </c>
      <c r="M363" s="5">
        <v>7683.11</v>
      </c>
      <c r="N363" s="5">
        <v>25189.399999999998</v>
      </c>
      <c r="O363" s="5">
        <v>1250</v>
      </c>
      <c r="P363" s="8">
        <v>3.81289E-2</v>
      </c>
      <c r="Q363" s="8">
        <v>1.7982100000000001</v>
      </c>
      <c r="R363" s="8">
        <v>0.15964200000000001</v>
      </c>
      <c r="S363" s="8">
        <f>Tabelle1[[#This Row],[corr_x]]/1000</f>
        <v>5.3401399999999999</v>
      </c>
      <c r="T363" s="8">
        <f>Tabelle1[[#This Row],[corr_y]]/1000</f>
        <v>12.6234</v>
      </c>
      <c r="U363" s="8">
        <f>Tabelle1[[#This Row],[corr_z]]/1000</f>
        <v>4.7</v>
      </c>
      <c r="V363" s="8">
        <f>Tabelle1[[#This Row],[corr_soma_x]]/1000</f>
        <v>7.6831100000000001</v>
      </c>
      <c r="W363" s="8">
        <f>Tabelle1[[#This Row],[corr_soma_y]]/1000</f>
        <v>25.189399999999999</v>
      </c>
      <c r="X363" s="8">
        <f>Tabelle1[[#This Row],[corr_soma_z]]/1000</f>
        <v>1.25</v>
      </c>
    </row>
    <row r="364" spans="1:24" x14ac:dyDescent="0.35">
      <c r="A364" s="7" t="s">
        <v>15</v>
      </c>
      <c r="B364" s="7" t="s">
        <v>18</v>
      </c>
      <c r="C364" s="6">
        <v>19</v>
      </c>
      <c r="D364" s="5">
        <v>6792.07</v>
      </c>
      <c r="E364" s="5">
        <v>14585.1</v>
      </c>
      <c r="F364" s="5">
        <v>4700</v>
      </c>
      <c r="G364" s="5">
        <v>7683.11</v>
      </c>
      <c r="H364" s="5">
        <v>25189.399999999998</v>
      </c>
      <c r="I364" s="5">
        <v>1250</v>
      </c>
      <c r="J364" s="5">
        <v>6792.07</v>
      </c>
      <c r="K364" s="5">
        <v>14585.1</v>
      </c>
      <c r="L364" s="5">
        <v>4700</v>
      </c>
      <c r="M364" s="5">
        <v>7683.11</v>
      </c>
      <c r="N364" s="5">
        <v>25189.399999999998</v>
      </c>
      <c r="O364" s="5">
        <v>1250</v>
      </c>
      <c r="P364" s="8">
        <v>2.15289E-2</v>
      </c>
      <c r="Q364" s="8">
        <v>1.15218</v>
      </c>
      <c r="R364" s="8">
        <v>0.105661</v>
      </c>
      <c r="S364" s="8">
        <f>Tabelle1[[#This Row],[corr_x]]/1000</f>
        <v>6.7920699999999998</v>
      </c>
      <c r="T364" s="8">
        <f>Tabelle1[[#This Row],[corr_y]]/1000</f>
        <v>14.585100000000001</v>
      </c>
      <c r="U364" s="8">
        <f>Tabelle1[[#This Row],[corr_z]]/1000</f>
        <v>4.7</v>
      </c>
      <c r="V364" s="8">
        <f>Tabelle1[[#This Row],[corr_soma_x]]/1000</f>
        <v>7.6831100000000001</v>
      </c>
      <c r="W364" s="8">
        <f>Tabelle1[[#This Row],[corr_soma_y]]/1000</f>
        <v>25.189399999999999</v>
      </c>
      <c r="X364" s="8">
        <f>Tabelle1[[#This Row],[corr_soma_z]]/1000</f>
        <v>1.25</v>
      </c>
    </row>
    <row r="365" spans="1:24" x14ac:dyDescent="0.35">
      <c r="A365" s="7" t="s">
        <v>15</v>
      </c>
      <c r="B365" s="7" t="s">
        <v>19</v>
      </c>
      <c r="C365" s="6">
        <v>9</v>
      </c>
      <c r="D365" s="5">
        <v>5363.64</v>
      </c>
      <c r="E365" s="5">
        <v>12179.15</v>
      </c>
      <c r="F365" s="5">
        <v>4925.0000000000009</v>
      </c>
      <c r="G365" s="5">
        <v>7683.11</v>
      </c>
      <c r="H365" s="5">
        <v>25189.399999999998</v>
      </c>
      <c r="I365" s="5">
        <v>1250</v>
      </c>
      <c r="J365" s="5">
        <v>5363.64</v>
      </c>
      <c r="K365" s="5">
        <v>12179.15</v>
      </c>
      <c r="L365" s="5">
        <v>4925.0000000000009</v>
      </c>
      <c r="M365" s="5">
        <v>7683.11</v>
      </c>
      <c r="N365" s="5">
        <v>25189.399999999998</v>
      </c>
      <c r="O365" s="5">
        <v>1250</v>
      </c>
      <c r="P365" s="8">
        <v>2.0814900000000001E-2</v>
      </c>
      <c r="Q365" s="8">
        <v>2.2814399999999999</v>
      </c>
      <c r="R365" s="8">
        <v>0.20466999999999999</v>
      </c>
      <c r="S365" s="8">
        <f>Tabelle1[[#This Row],[corr_x]]/1000</f>
        <v>5.3636400000000002</v>
      </c>
      <c r="T365" s="8">
        <f>Tabelle1[[#This Row],[corr_y]]/1000</f>
        <v>12.17915</v>
      </c>
      <c r="U365" s="8">
        <f>Tabelle1[[#This Row],[corr_z]]/1000</f>
        <v>4.9250000000000007</v>
      </c>
      <c r="V365" s="8">
        <f>Tabelle1[[#This Row],[corr_soma_x]]/1000</f>
        <v>7.6831100000000001</v>
      </c>
      <c r="W365" s="8">
        <f>Tabelle1[[#This Row],[corr_soma_y]]/1000</f>
        <v>25.189399999999999</v>
      </c>
      <c r="X365" s="8">
        <f>Tabelle1[[#This Row],[corr_soma_z]]/1000</f>
        <v>1.25</v>
      </c>
    </row>
    <row r="366" spans="1:24" x14ac:dyDescent="0.35">
      <c r="A366" s="7" t="s">
        <v>15</v>
      </c>
      <c r="B366" s="7" t="s">
        <v>18</v>
      </c>
      <c r="C366" s="6">
        <v>20</v>
      </c>
      <c r="D366" s="5">
        <v>5373.36</v>
      </c>
      <c r="E366" s="5">
        <v>12321.400000000001</v>
      </c>
      <c r="F366" s="5">
        <v>4950</v>
      </c>
      <c r="G366" s="5">
        <v>7683.11</v>
      </c>
      <c r="H366" s="5">
        <v>25189.399999999998</v>
      </c>
      <c r="I366" s="5">
        <v>1250</v>
      </c>
      <c r="J366" s="5">
        <v>5373.36</v>
      </c>
      <c r="K366" s="5">
        <v>12321.400000000001</v>
      </c>
      <c r="L366" s="5">
        <v>4950</v>
      </c>
      <c r="M366" s="5">
        <v>7683.11</v>
      </c>
      <c r="N366" s="5">
        <v>25189.399999999998</v>
      </c>
      <c r="O366" s="5">
        <v>1250</v>
      </c>
      <c r="P366" s="8">
        <v>2.4133600000000002E-2</v>
      </c>
      <c r="Q366" s="8">
        <v>0.58053200000000005</v>
      </c>
      <c r="R366" s="8">
        <v>2.9487800000000002E-2</v>
      </c>
      <c r="S366" s="8">
        <f>Tabelle1[[#This Row],[corr_x]]/1000</f>
        <v>5.3733599999999999</v>
      </c>
      <c r="T366" s="8">
        <f>Tabelle1[[#This Row],[corr_y]]/1000</f>
        <v>12.321400000000001</v>
      </c>
      <c r="U366" s="8">
        <f>Tabelle1[[#This Row],[corr_z]]/1000</f>
        <v>4.95</v>
      </c>
      <c r="V366" s="8">
        <f>Tabelle1[[#This Row],[corr_soma_x]]/1000</f>
        <v>7.6831100000000001</v>
      </c>
      <c r="W366" s="8">
        <f>Tabelle1[[#This Row],[corr_soma_y]]/1000</f>
        <v>25.189399999999999</v>
      </c>
      <c r="X366" s="8">
        <f>Tabelle1[[#This Row],[corr_soma_z]]/1000</f>
        <v>1.25</v>
      </c>
    </row>
    <row r="367" spans="1:24" x14ac:dyDescent="0.35">
      <c r="A367" s="7" t="s">
        <v>15</v>
      </c>
      <c r="B367" s="7" t="s">
        <v>18</v>
      </c>
      <c r="C367" s="6">
        <v>21</v>
      </c>
      <c r="D367" s="5">
        <v>5981.5199999999995</v>
      </c>
      <c r="E367" s="5">
        <v>14417.449999999999</v>
      </c>
      <c r="F367" s="5">
        <v>4925.0000000000009</v>
      </c>
      <c r="G367" s="5">
        <v>7683.11</v>
      </c>
      <c r="H367" s="5">
        <v>25189.399999999998</v>
      </c>
      <c r="I367" s="5">
        <v>1250</v>
      </c>
      <c r="J367" s="5">
        <v>5981.5199999999995</v>
      </c>
      <c r="K367" s="5">
        <v>14417.449999999999</v>
      </c>
      <c r="L367" s="5">
        <v>4925.0000000000009</v>
      </c>
      <c r="M367" s="5">
        <v>7683.11</v>
      </c>
      <c r="N367" s="5">
        <v>25189.399999999998</v>
      </c>
      <c r="O367" s="5">
        <v>1250</v>
      </c>
      <c r="P367" s="8">
        <v>5.7381599999999998E-2</v>
      </c>
      <c r="Q367" s="8">
        <v>0.99130700000000005</v>
      </c>
      <c r="R367" s="8">
        <v>6.2691999999999998E-2</v>
      </c>
      <c r="S367" s="8">
        <f>Tabelle1[[#This Row],[corr_x]]/1000</f>
        <v>5.9815199999999997</v>
      </c>
      <c r="T367" s="8">
        <f>Tabelle1[[#This Row],[corr_y]]/1000</f>
        <v>14.417449999999999</v>
      </c>
      <c r="U367" s="8">
        <f>Tabelle1[[#This Row],[corr_z]]/1000</f>
        <v>4.9250000000000007</v>
      </c>
      <c r="V367" s="8">
        <f>Tabelle1[[#This Row],[corr_soma_x]]/1000</f>
        <v>7.6831100000000001</v>
      </c>
      <c r="W367" s="8">
        <f>Tabelle1[[#This Row],[corr_soma_y]]/1000</f>
        <v>25.189399999999999</v>
      </c>
      <c r="X367" s="8">
        <f>Tabelle1[[#This Row],[corr_soma_z]]/1000</f>
        <v>1.25</v>
      </c>
    </row>
    <row r="368" spans="1:24" x14ac:dyDescent="0.35">
      <c r="A368" s="7" t="s">
        <v>15</v>
      </c>
      <c r="B368" s="7" t="s">
        <v>18</v>
      </c>
      <c r="C368" s="6">
        <v>22</v>
      </c>
      <c r="D368" s="5">
        <v>6763.81</v>
      </c>
      <c r="E368" s="5">
        <v>14499.4</v>
      </c>
      <c r="F368" s="5">
        <v>4450</v>
      </c>
      <c r="G368" s="5">
        <v>7683.11</v>
      </c>
      <c r="H368" s="5">
        <v>25189.399999999998</v>
      </c>
      <c r="I368" s="5">
        <v>1250</v>
      </c>
      <c r="J368" s="5">
        <v>6763.81</v>
      </c>
      <c r="K368" s="5">
        <v>14499.4</v>
      </c>
      <c r="L368" s="5">
        <v>4450</v>
      </c>
      <c r="M368" s="5">
        <v>7683.11</v>
      </c>
      <c r="N368" s="5">
        <v>25189.399999999998</v>
      </c>
      <c r="O368" s="5">
        <v>1250</v>
      </c>
      <c r="P368" s="8">
        <v>3.2465800000000003E-2</v>
      </c>
      <c r="Q368" s="8">
        <v>0.55062999999999995</v>
      </c>
      <c r="R368" s="8">
        <v>3.5771900000000002E-2</v>
      </c>
      <c r="S368" s="8">
        <f>Tabelle1[[#This Row],[corr_x]]/1000</f>
        <v>6.7638100000000003</v>
      </c>
      <c r="T368" s="8">
        <f>Tabelle1[[#This Row],[corr_y]]/1000</f>
        <v>14.4994</v>
      </c>
      <c r="U368" s="8">
        <f>Tabelle1[[#This Row],[corr_z]]/1000</f>
        <v>4.45</v>
      </c>
      <c r="V368" s="8">
        <f>Tabelle1[[#This Row],[corr_soma_x]]/1000</f>
        <v>7.6831100000000001</v>
      </c>
      <c r="W368" s="8">
        <f>Tabelle1[[#This Row],[corr_soma_y]]/1000</f>
        <v>25.189399999999999</v>
      </c>
      <c r="X368" s="8">
        <f>Tabelle1[[#This Row],[corr_soma_z]]/1000</f>
        <v>1.25</v>
      </c>
    </row>
    <row r="369" spans="1:24" x14ac:dyDescent="0.35">
      <c r="A369" s="7" t="s">
        <v>15</v>
      </c>
      <c r="B369" s="7" t="s">
        <v>18</v>
      </c>
      <c r="C369" s="6">
        <v>23</v>
      </c>
      <c r="D369" s="5">
        <v>5155.96</v>
      </c>
      <c r="E369" s="5">
        <v>13732.45</v>
      </c>
      <c r="F369" s="5">
        <v>4675.0000000000009</v>
      </c>
      <c r="G369" s="5">
        <v>7683.11</v>
      </c>
      <c r="H369" s="5">
        <v>25189.399999999998</v>
      </c>
      <c r="I369" s="5">
        <v>1250</v>
      </c>
      <c r="J369" s="5">
        <v>5155.96</v>
      </c>
      <c r="K369" s="5">
        <v>13732.45</v>
      </c>
      <c r="L369" s="5">
        <v>4675.0000000000009</v>
      </c>
      <c r="M369" s="5">
        <v>7683.11</v>
      </c>
      <c r="N369" s="5">
        <v>25189.399999999998</v>
      </c>
      <c r="O369" s="5">
        <v>1250</v>
      </c>
      <c r="P369" s="8">
        <v>4.2060800000000002E-2</v>
      </c>
      <c r="Q369" s="8">
        <v>1.48749</v>
      </c>
      <c r="R369" s="8">
        <v>0.13254199999999999</v>
      </c>
      <c r="S369" s="8">
        <f>Tabelle1[[#This Row],[corr_x]]/1000</f>
        <v>5.1559600000000003</v>
      </c>
      <c r="T369" s="8">
        <f>Tabelle1[[#This Row],[corr_y]]/1000</f>
        <v>13.73245</v>
      </c>
      <c r="U369" s="8">
        <f>Tabelle1[[#This Row],[corr_z]]/1000</f>
        <v>4.6750000000000007</v>
      </c>
      <c r="V369" s="8">
        <f>Tabelle1[[#This Row],[corr_soma_x]]/1000</f>
        <v>7.6831100000000001</v>
      </c>
      <c r="W369" s="8">
        <f>Tabelle1[[#This Row],[corr_soma_y]]/1000</f>
        <v>25.189399999999999</v>
      </c>
      <c r="X369" s="8">
        <f>Tabelle1[[#This Row],[corr_soma_z]]/1000</f>
        <v>1.25</v>
      </c>
    </row>
    <row r="370" spans="1:24" x14ac:dyDescent="0.35">
      <c r="A370" s="7" t="s">
        <v>15</v>
      </c>
      <c r="B370" s="7" t="s">
        <v>18</v>
      </c>
      <c r="C370" s="6">
        <v>24</v>
      </c>
      <c r="D370" s="5">
        <v>6585.5300000000007</v>
      </c>
      <c r="E370" s="5">
        <v>16227.3</v>
      </c>
      <c r="F370" s="5">
        <v>4850</v>
      </c>
      <c r="G370" s="5">
        <v>7683.11</v>
      </c>
      <c r="H370" s="5">
        <v>25189.399999999998</v>
      </c>
      <c r="I370" s="5">
        <v>1250</v>
      </c>
      <c r="J370" s="5">
        <v>6585.5300000000007</v>
      </c>
      <c r="K370" s="5">
        <v>16227.3</v>
      </c>
      <c r="L370" s="5">
        <v>4850</v>
      </c>
      <c r="M370" s="5">
        <v>7683.11</v>
      </c>
      <c r="N370" s="5">
        <v>25189.399999999998</v>
      </c>
      <c r="O370" s="5">
        <v>1250</v>
      </c>
      <c r="P370" s="8">
        <v>4.4350000000000001E-2</v>
      </c>
      <c r="Q370" s="8">
        <v>0.82685799999999998</v>
      </c>
      <c r="R370" s="8">
        <v>5.2132699999999997E-2</v>
      </c>
      <c r="S370" s="8">
        <f>Tabelle1[[#This Row],[corr_x]]/1000</f>
        <v>6.5855300000000003</v>
      </c>
      <c r="T370" s="8">
        <f>Tabelle1[[#This Row],[corr_y]]/1000</f>
        <v>16.2273</v>
      </c>
      <c r="U370" s="8">
        <f>Tabelle1[[#This Row],[corr_z]]/1000</f>
        <v>4.8499999999999996</v>
      </c>
      <c r="V370" s="8">
        <f>Tabelle1[[#This Row],[corr_soma_x]]/1000</f>
        <v>7.6831100000000001</v>
      </c>
      <c r="W370" s="8">
        <f>Tabelle1[[#This Row],[corr_soma_y]]/1000</f>
        <v>25.189399999999999</v>
      </c>
      <c r="X370" s="8">
        <f>Tabelle1[[#This Row],[corr_soma_z]]/1000</f>
        <v>1.25</v>
      </c>
    </row>
    <row r="371" spans="1:24" x14ac:dyDescent="0.35">
      <c r="A371" s="7" t="s">
        <v>15</v>
      </c>
      <c r="B371" s="7" t="s">
        <v>18</v>
      </c>
      <c r="C371" s="6">
        <v>25</v>
      </c>
      <c r="D371" s="5">
        <v>6466.329999999999</v>
      </c>
      <c r="E371" s="5">
        <v>16781.300000000003</v>
      </c>
      <c r="F371" s="5">
        <v>4975</v>
      </c>
      <c r="G371" s="5">
        <v>7683.11</v>
      </c>
      <c r="H371" s="5">
        <v>25189.399999999998</v>
      </c>
      <c r="I371" s="5">
        <v>1250</v>
      </c>
      <c r="J371" s="5">
        <v>6466.329999999999</v>
      </c>
      <c r="K371" s="5">
        <v>16781.300000000003</v>
      </c>
      <c r="L371" s="5">
        <v>4975</v>
      </c>
      <c r="M371" s="5">
        <v>7683.11</v>
      </c>
      <c r="N371" s="5">
        <v>25189.399999999998</v>
      </c>
      <c r="O371" s="5">
        <v>1250</v>
      </c>
      <c r="P371" s="8">
        <v>8.2217999999999999E-2</v>
      </c>
      <c r="Q371" s="8">
        <v>0.67742800000000003</v>
      </c>
      <c r="R371" s="8">
        <v>4.27588E-2</v>
      </c>
      <c r="S371" s="8">
        <f>Tabelle1[[#This Row],[corr_x]]/1000</f>
        <v>6.4663299999999992</v>
      </c>
      <c r="T371" s="8">
        <f>Tabelle1[[#This Row],[corr_y]]/1000</f>
        <v>16.781300000000002</v>
      </c>
      <c r="U371" s="8">
        <f>Tabelle1[[#This Row],[corr_z]]/1000</f>
        <v>4.9749999999999996</v>
      </c>
      <c r="V371" s="8">
        <f>Tabelle1[[#This Row],[corr_soma_x]]/1000</f>
        <v>7.6831100000000001</v>
      </c>
      <c r="W371" s="8">
        <f>Tabelle1[[#This Row],[corr_soma_y]]/1000</f>
        <v>25.189399999999999</v>
      </c>
      <c r="X371" s="8">
        <f>Tabelle1[[#This Row],[corr_soma_z]]/1000</f>
        <v>1.25</v>
      </c>
    </row>
    <row r="372" spans="1:24" x14ac:dyDescent="0.35">
      <c r="A372" s="7" t="s">
        <v>15</v>
      </c>
      <c r="B372" s="7" t="s">
        <v>18</v>
      </c>
      <c r="C372" s="6">
        <v>26</v>
      </c>
      <c r="D372" s="5">
        <v>5808.12</v>
      </c>
      <c r="E372" s="5">
        <v>15941.4</v>
      </c>
      <c r="F372" s="5">
        <v>5100</v>
      </c>
      <c r="G372" s="5">
        <v>7683.11</v>
      </c>
      <c r="H372" s="5">
        <v>25189.399999999998</v>
      </c>
      <c r="I372" s="5">
        <v>1250</v>
      </c>
      <c r="J372" s="5">
        <v>5808.12</v>
      </c>
      <c r="K372" s="5">
        <v>15941.4</v>
      </c>
      <c r="L372" s="5">
        <v>5100</v>
      </c>
      <c r="M372" s="5">
        <v>7683.11</v>
      </c>
      <c r="N372" s="5">
        <v>25189.399999999998</v>
      </c>
      <c r="O372" s="5">
        <v>1250</v>
      </c>
      <c r="P372" s="8">
        <v>2.9670499999999999E-2</v>
      </c>
      <c r="Q372" s="8">
        <v>0.44578600000000002</v>
      </c>
      <c r="R372" s="8">
        <v>2.8944399999999999E-2</v>
      </c>
      <c r="S372" s="8">
        <f>Tabelle1[[#This Row],[corr_x]]/1000</f>
        <v>5.8081199999999997</v>
      </c>
      <c r="T372" s="8">
        <f>Tabelle1[[#This Row],[corr_y]]/1000</f>
        <v>15.9414</v>
      </c>
      <c r="U372" s="8">
        <f>Tabelle1[[#This Row],[corr_z]]/1000</f>
        <v>5.0999999999999996</v>
      </c>
      <c r="V372" s="8">
        <f>Tabelle1[[#This Row],[corr_soma_x]]/1000</f>
        <v>7.6831100000000001</v>
      </c>
      <c r="W372" s="8">
        <f>Tabelle1[[#This Row],[corr_soma_y]]/1000</f>
        <v>25.189399999999999</v>
      </c>
      <c r="X372" s="8">
        <f>Tabelle1[[#This Row],[corr_soma_z]]/1000</f>
        <v>1.25</v>
      </c>
    </row>
    <row r="373" spans="1:24" x14ac:dyDescent="0.35">
      <c r="A373" s="7" t="s">
        <v>15</v>
      </c>
      <c r="B373" s="7" t="s">
        <v>18</v>
      </c>
      <c r="C373" s="6">
        <v>27</v>
      </c>
      <c r="D373" s="5">
        <v>5792.21</v>
      </c>
      <c r="E373" s="5">
        <v>13922.3</v>
      </c>
      <c r="F373" s="5">
        <v>4950</v>
      </c>
      <c r="G373" s="5">
        <v>7683.11</v>
      </c>
      <c r="H373" s="5">
        <v>25189.399999999998</v>
      </c>
      <c r="I373" s="5">
        <v>1250</v>
      </c>
      <c r="J373" s="5">
        <v>5792.21</v>
      </c>
      <c r="K373" s="5">
        <v>13922.3</v>
      </c>
      <c r="L373" s="5">
        <v>4950</v>
      </c>
      <c r="M373" s="5">
        <v>7683.11</v>
      </c>
      <c r="N373" s="5">
        <v>25189.399999999998</v>
      </c>
      <c r="O373" s="5">
        <v>1250</v>
      </c>
      <c r="P373" s="8">
        <v>5.5696200000000001E-2</v>
      </c>
      <c r="Q373" s="8">
        <v>0.69135800000000003</v>
      </c>
      <c r="R373" s="8">
        <v>3.0275799999999999E-2</v>
      </c>
      <c r="S373" s="8">
        <f>Tabelle1[[#This Row],[corr_x]]/1000</f>
        <v>5.7922099999999999</v>
      </c>
      <c r="T373" s="8">
        <f>Tabelle1[[#This Row],[corr_y]]/1000</f>
        <v>13.9223</v>
      </c>
      <c r="U373" s="8">
        <f>Tabelle1[[#This Row],[corr_z]]/1000</f>
        <v>4.95</v>
      </c>
      <c r="V373" s="8">
        <f>Tabelle1[[#This Row],[corr_soma_x]]/1000</f>
        <v>7.6831100000000001</v>
      </c>
      <c r="W373" s="8">
        <f>Tabelle1[[#This Row],[corr_soma_y]]/1000</f>
        <v>25.189399999999999</v>
      </c>
      <c r="X373" s="8">
        <f>Tabelle1[[#This Row],[corr_soma_z]]/1000</f>
        <v>1.25</v>
      </c>
    </row>
    <row r="374" spans="1:24" x14ac:dyDescent="0.35">
      <c r="A374" s="7" t="s">
        <v>15</v>
      </c>
      <c r="B374" s="7" t="s">
        <v>18</v>
      </c>
      <c r="C374" s="6">
        <v>28</v>
      </c>
      <c r="D374" s="5">
        <v>5957.69</v>
      </c>
      <c r="E374" s="5">
        <v>13267.6</v>
      </c>
      <c r="F374" s="5">
        <v>4875</v>
      </c>
      <c r="G374" s="5">
        <v>7683.11</v>
      </c>
      <c r="H374" s="5">
        <v>25189.399999999998</v>
      </c>
      <c r="I374" s="5">
        <v>1250</v>
      </c>
      <c r="J374" s="5">
        <v>5957.69</v>
      </c>
      <c r="K374" s="5">
        <v>13267.6</v>
      </c>
      <c r="L374" s="5">
        <v>4875</v>
      </c>
      <c r="M374" s="5">
        <v>7683.11</v>
      </c>
      <c r="N374" s="5">
        <v>25189.399999999998</v>
      </c>
      <c r="O374" s="5">
        <v>1250</v>
      </c>
      <c r="P374" s="8">
        <v>7.7036999999999994E-2</v>
      </c>
      <c r="Q374" s="8">
        <v>1.10934</v>
      </c>
      <c r="R374" s="8">
        <v>6.1468299999999997E-2</v>
      </c>
      <c r="S374" s="8">
        <f>Tabelle1[[#This Row],[corr_x]]/1000</f>
        <v>5.9576899999999995</v>
      </c>
      <c r="T374" s="8">
        <f>Tabelle1[[#This Row],[corr_y]]/1000</f>
        <v>13.2676</v>
      </c>
      <c r="U374" s="8">
        <f>Tabelle1[[#This Row],[corr_z]]/1000</f>
        <v>4.875</v>
      </c>
      <c r="V374" s="8">
        <f>Tabelle1[[#This Row],[corr_soma_x]]/1000</f>
        <v>7.6831100000000001</v>
      </c>
      <c r="W374" s="8">
        <f>Tabelle1[[#This Row],[corr_soma_y]]/1000</f>
        <v>25.189399999999999</v>
      </c>
      <c r="X374" s="8">
        <f>Tabelle1[[#This Row],[corr_soma_z]]/1000</f>
        <v>1.25</v>
      </c>
    </row>
    <row r="375" spans="1:24" x14ac:dyDescent="0.35">
      <c r="A375" s="7" t="s">
        <v>15</v>
      </c>
      <c r="B375" s="7" t="s">
        <v>18</v>
      </c>
      <c r="C375" s="6">
        <v>29</v>
      </c>
      <c r="D375" s="5">
        <v>6106.61</v>
      </c>
      <c r="E375" s="5">
        <v>14747</v>
      </c>
      <c r="F375" s="5">
        <v>5050</v>
      </c>
      <c r="G375" s="5">
        <v>7683.11</v>
      </c>
      <c r="H375" s="5">
        <v>25189.399999999998</v>
      </c>
      <c r="I375" s="5">
        <v>1250</v>
      </c>
      <c r="J375" s="5">
        <v>6106.61</v>
      </c>
      <c r="K375" s="5">
        <v>14747</v>
      </c>
      <c r="L375" s="5">
        <v>5050</v>
      </c>
      <c r="M375" s="5">
        <v>7683.11</v>
      </c>
      <c r="N375" s="5">
        <v>25189.399999999998</v>
      </c>
      <c r="O375" s="5">
        <v>1250</v>
      </c>
      <c r="P375" s="8">
        <v>3.7589299999999999E-2</v>
      </c>
      <c r="Q375" s="8">
        <v>0.35039900000000002</v>
      </c>
      <c r="R375" s="8">
        <v>2.11054E-2</v>
      </c>
      <c r="S375" s="8">
        <f>Tabelle1[[#This Row],[corr_x]]/1000</f>
        <v>6.1066099999999999</v>
      </c>
      <c r="T375" s="8">
        <f>Tabelle1[[#This Row],[corr_y]]/1000</f>
        <v>14.747</v>
      </c>
      <c r="U375" s="8">
        <f>Tabelle1[[#This Row],[corr_z]]/1000</f>
        <v>5.05</v>
      </c>
      <c r="V375" s="8">
        <f>Tabelle1[[#This Row],[corr_soma_x]]/1000</f>
        <v>7.6831100000000001</v>
      </c>
      <c r="W375" s="8">
        <f>Tabelle1[[#This Row],[corr_soma_y]]/1000</f>
        <v>25.189399999999999</v>
      </c>
      <c r="X375" s="8">
        <f>Tabelle1[[#This Row],[corr_soma_z]]/1000</f>
        <v>1.25</v>
      </c>
    </row>
    <row r="376" spans="1:24" x14ac:dyDescent="0.35">
      <c r="A376" s="7" t="s">
        <v>15</v>
      </c>
      <c r="B376" s="7" t="s">
        <v>19</v>
      </c>
      <c r="C376" s="6">
        <v>10</v>
      </c>
      <c r="D376" s="5">
        <v>6371.8450000000003</v>
      </c>
      <c r="E376" s="5">
        <v>15452.55</v>
      </c>
      <c r="F376" s="5">
        <v>5225</v>
      </c>
      <c r="G376" s="5">
        <v>7683.11</v>
      </c>
      <c r="H376" s="5">
        <v>25189.399999999998</v>
      </c>
      <c r="I376" s="5">
        <v>1250</v>
      </c>
      <c r="J376" s="5">
        <v>6371.8450000000003</v>
      </c>
      <c r="K376" s="5">
        <v>15452.55</v>
      </c>
      <c r="L376" s="5">
        <v>5225</v>
      </c>
      <c r="M376" s="5">
        <v>7683.11</v>
      </c>
      <c r="N376" s="5">
        <v>25189.399999999998</v>
      </c>
      <c r="O376" s="5">
        <v>1250</v>
      </c>
      <c r="P376" s="8">
        <v>5.1313400000000002E-2</v>
      </c>
      <c r="Q376" s="8">
        <v>3.3984800000000002</v>
      </c>
      <c r="R376" s="8">
        <v>0.35808299999999998</v>
      </c>
      <c r="S376" s="8">
        <f>Tabelle1[[#This Row],[corr_x]]/1000</f>
        <v>6.3718450000000004</v>
      </c>
      <c r="T376" s="8">
        <f>Tabelle1[[#This Row],[corr_y]]/1000</f>
        <v>15.452549999999999</v>
      </c>
      <c r="U376" s="8">
        <f>Tabelle1[[#This Row],[corr_z]]/1000</f>
        <v>5.2249999999999996</v>
      </c>
      <c r="V376" s="8">
        <f>Tabelle1[[#This Row],[corr_soma_x]]/1000</f>
        <v>7.6831100000000001</v>
      </c>
      <c r="W376" s="8">
        <f>Tabelle1[[#This Row],[corr_soma_y]]/1000</f>
        <v>25.189399999999999</v>
      </c>
      <c r="X376" s="8">
        <f>Tabelle1[[#This Row],[corr_soma_z]]/1000</f>
        <v>1.25</v>
      </c>
    </row>
    <row r="377" spans="1:24" x14ac:dyDescent="0.35">
      <c r="A377" s="7" t="s">
        <v>15</v>
      </c>
      <c r="B377" s="7" t="s">
        <v>18</v>
      </c>
      <c r="C377" s="6">
        <v>30</v>
      </c>
      <c r="D377" s="5">
        <v>7425.6949999999997</v>
      </c>
      <c r="E377" s="5">
        <v>14964.2</v>
      </c>
      <c r="F377" s="5">
        <v>5225</v>
      </c>
      <c r="G377" s="5">
        <v>7683.11</v>
      </c>
      <c r="H377" s="5">
        <v>25189.399999999998</v>
      </c>
      <c r="I377" s="5">
        <v>1250</v>
      </c>
      <c r="J377" s="5">
        <v>7425.6949999999997</v>
      </c>
      <c r="K377" s="5">
        <v>14964.2</v>
      </c>
      <c r="L377" s="5">
        <v>5225</v>
      </c>
      <c r="M377" s="5">
        <v>7683.11</v>
      </c>
      <c r="N377" s="5">
        <v>25189.399999999998</v>
      </c>
      <c r="O377" s="5">
        <v>1250</v>
      </c>
      <c r="P377" s="8">
        <v>7.2878100000000001E-2</v>
      </c>
      <c r="Q377" s="8">
        <v>1.3045199999999999</v>
      </c>
      <c r="R377" s="8">
        <v>0.10293099999999999</v>
      </c>
      <c r="S377" s="8">
        <f>Tabelle1[[#This Row],[corr_x]]/1000</f>
        <v>7.4256949999999993</v>
      </c>
      <c r="T377" s="8">
        <f>Tabelle1[[#This Row],[corr_y]]/1000</f>
        <v>14.9642</v>
      </c>
      <c r="U377" s="8">
        <f>Tabelle1[[#This Row],[corr_z]]/1000</f>
        <v>5.2249999999999996</v>
      </c>
      <c r="V377" s="8">
        <f>Tabelle1[[#This Row],[corr_soma_x]]/1000</f>
        <v>7.6831100000000001</v>
      </c>
      <c r="W377" s="8">
        <f>Tabelle1[[#This Row],[corr_soma_y]]/1000</f>
        <v>25.189399999999999</v>
      </c>
      <c r="X377" s="8">
        <f>Tabelle1[[#This Row],[corr_soma_z]]/1000</f>
        <v>1.25</v>
      </c>
    </row>
    <row r="378" spans="1:24" x14ac:dyDescent="0.35">
      <c r="A378" s="7" t="s">
        <v>15</v>
      </c>
      <c r="B378" s="7" t="s">
        <v>18</v>
      </c>
      <c r="C378" s="6">
        <v>31</v>
      </c>
      <c r="D378" s="5">
        <v>7250.66</v>
      </c>
      <c r="E378" s="5">
        <v>15309.900000000001</v>
      </c>
      <c r="F378" s="5">
        <v>5500</v>
      </c>
      <c r="G378" s="5">
        <v>7683.11</v>
      </c>
      <c r="H378" s="5">
        <v>25189.399999999998</v>
      </c>
      <c r="I378" s="5">
        <v>1250</v>
      </c>
      <c r="J378" s="5">
        <v>7250.66</v>
      </c>
      <c r="K378" s="5">
        <v>15309.900000000001</v>
      </c>
      <c r="L378" s="5">
        <v>5500</v>
      </c>
      <c r="M378" s="5">
        <v>7683.11</v>
      </c>
      <c r="N378" s="5">
        <v>25189.399999999998</v>
      </c>
      <c r="O378" s="5">
        <v>1250</v>
      </c>
      <c r="P378" s="8">
        <v>4.2339000000000002E-2</v>
      </c>
      <c r="Q378" s="8">
        <v>1.48007</v>
      </c>
      <c r="R378" s="8">
        <v>8.6922299999999994E-2</v>
      </c>
      <c r="S378" s="8">
        <f>Tabelle1[[#This Row],[corr_x]]/1000</f>
        <v>7.2506599999999999</v>
      </c>
      <c r="T378" s="8">
        <f>Tabelle1[[#This Row],[corr_y]]/1000</f>
        <v>15.309900000000001</v>
      </c>
      <c r="U378" s="8">
        <f>Tabelle1[[#This Row],[corr_z]]/1000</f>
        <v>5.5</v>
      </c>
      <c r="V378" s="8">
        <f>Tabelle1[[#This Row],[corr_soma_x]]/1000</f>
        <v>7.6831100000000001</v>
      </c>
      <c r="W378" s="8">
        <f>Tabelle1[[#This Row],[corr_soma_y]]/1000</f>
        <v>25.189399999999999</v>
      </c>
      <c r="X378" s="8">
        <f>Tabelle1[[#This Row],[corr_soma_z]]/1000</f>
        <v>1.25</v>
      </c>
    </row>
    <row r="379" spans="1:24" x14ac:dyDescent="0.35">
      <c r="A379" s="7" t="s">
        <v>15</v>
      </c>
      <c r="B379" s="7" t="s">
        <v>18</v>
      </c>
      <c r="C379" s="6">
        <v>32</v>
      </c>
      <c r="D379" s="5">
        <v>6533.4249999999993</v>
      </c>
      <c r="E379" s="5">
        <v>14581.150000000001</v>
      </c>
      <c r="F379" s="5">
        <v>5225</v>
      </c>
      <c r="G379" s="5">
        <v>7683.11</v>
      </c>
      <c r="H379" s="5">
        <v>25189.399999999998</v>
      </c>
      <c r="I379" s="5">
        <v>1250</v>
      </c>
      <c r="J379" s="5">
        <v>6533.4249999999993</v>
      </c>
      <c r="K379" s="5">
        <v>14581.150000000001</v>
      </c>
      <c r="L379" s="5">
        <v>5225</v>
      </c>
      <c r="M379" s="5">
        <v>7683.11</v>
      </c>
      <c r="N379" s="5">
        <v>25189.399999999998</v>
      </c>
      <c r="O379" s="5">
        <v>1250</v>
      </c>
      <c r="P379" s="8">
        <v>6.0267000000000001E-2</v>
      </c>
      <c r="Q379" s="8">
        <v>1.0758799999999999</v>
      </c>
      <c r="R379" s="8">
        <v>8.8021799999999997E-2</v>
      </c>
      <c r="S379" s="8">
        <f>Tabelle1[[#This Row],[corr_x]]/1000</f>
        <v>6.5334249999999994</v>
      </c>
      <c r="T379" s="8">
        <f>Tabelle1[[#This Row],[corr_y]]/1000</f>
        <v>14.581150000000001</v>
      </c>
      <c r="U379" s="8">
        <f>Tabelle1[[#This Row],[corr_z]]/1000</f>
        <v>5.2249999999999996</v>
      </c>
      <c r="V379" s="8">
        <f>Tabelle1[[#This Row],[corr_soma_x]]/1000</f>
        <v>7.6831100000000001</v>
      </c>
      <c r="W379" s="8">
        <f>Tabelle1[[#This Row],[corr_soma_y]]/1000</f>
        <v>25.189399999999999</v>
      </c>
      <c r="X379" s="8">
        <f>Tabelle1[[#This Row],[corr_soma_z]]/1000</f>
        <v>1.25</v>
      </c>
    </row>
    <row r="380" spans="1:24" x14ac:dyDescent="0.35">
      <c r="A380" s="7" t="s">
        <v>15</v>
      </c>
      <c r="B380" s="7" t="s">
        <v>18</v>
      </c>
      <c r="C380" s="6">
        <v>33</v>
      </c>
      <c r="D380" s="5">
        <v>5112.28</v>
      </c>
      <c r="E380" s="5">
        <v>10551.1</v>
      </c>
      <c r="F380" s="5">
        <v>5250</v>
      </c>
      <c r="G380" s="5">
        <v>7683.11</v>
      </c>
      <c r="H380" s="5">
        <v>25189.399999999998</v>
      </c>
      <c r="I380" s="5">
        <v>1250</v>
      </c>
      <c r="J380" s="5">
        <v>5112.28</v>
      </c>
      <c r="K380" s="5">
        <v>10551.1</v>
      </c>
      <c r="L380" s="5">
        <v>5250</v>
      </c>
      <c r="M380" s="5">
        <v>7683.11</v>
      </c>
      <c r="N380" s="5">
        <v>25189.399999999998</v>
      </c>
      <c r="O380" s="5">
        <v>1250</v>
      </c>
      <c r="P380" s="8">
        <v>2.72593E-2</v>
      </c>
      <c r="Q380" s="8">
        <v>0.54238799999999998</v>
      </c>
      <c r="R380" s="8">
        <v>1.9E-2</v>
      </c>
      <c r="S380" s="8">
        <f>Tabelle1[[#This Row],[corr_x]]/1000</f>
        <v>5.1122800000000002</v>
      </c>
      <c r="T380" s="8">
        <f>Tabelle1[[#This Row],[corr_y]]/1000</f>
        <v>10.5511</v>
      </c>
      <c r="U380" s="8">
        <f>Tabelle1[[#This Row],[corr_z]]/1000</f>
        <v>5.25</v>
      </c>
      <c r="V380" s="8">
        <f>Tabelle1[[#This Row],[corr_soma_x]]/1000</f>
        <v>7.6831100000000001</v>
      </c>
      <c r="W380" s="8">
        <f>Tabelle1[[#This Row],[corr_soma_y]]/1000</f>
        <v>25.189399999999999</v>
      </c>
      <c r="X380" s="8">
        <f>Tabelle1[[#This Row],[corr_soma_z]]/1000</f>
        <v>1.25</v>
      </c>
    </row>
    <row r="381" spans="1:24" x14ac:dyDescent="0.35">
      <c r="A381" s="7" t="s">
        <v>15</v>
      </c>
      <c r="B381" s="7" t="s">
        <v>18</v>
      </c>
      <c r="C381" s="6">
        <v>34</v>
      </c>
      <c r="D381" s="5">
        <v>5017.12</v>
      </c>
      <c r="E381" s="5">
        <v>11959.9</v>
      </c>
      <c r="F381" s="5">
        <v>5500</v>
      </c>
      <c r="G381" s="5">
        <v>7683.11</v>
      </c>
      <c r="H381" s="5">
        <v>25189.399999999998</v>
      </c>
      <c r="I381" s="5">
        <v>1250</v>
      </c>
      <c r="J381" s="5">
        <v>5017.12</v>
      </c>
      <c r="K381" s="5">
        <v>11959.9</v>
      </c>
      <c r="L381" s="5">
        <v>5500</v>
      </c>
      <c r="M381" s="5">
        <v>7683.11</v>
      </c>
      <c r="N381" s="5">
        <v>25189.399999999998</v>
      </c>
      <c r="O381" s="5">
        <v>1250</v>
      </c>
      <c r="P381" s="8">
        <v>1.8431699999999999E-2</v>
      </c>
      <c r="Q381" s="8">
        <v>0.50200500000000003</v>
      </c>
      <c r="R381" s="8">
        <v>2.3750500000000001E-2</v>
      </c>
      <c r="S381" s="8">
        <f>Tabelle1[[#This Row],[corr_x]]/1000</f>
        <v>5.0171200000000002</v>
      </c>
      <c r="T381" s="8">
        <f>Tabelle1[[#This Row],[corr_y]]/1000</f>
        <v>11.959899999999999</v>
      </c>
      <c r="U381" s="8">
        <f>Tabelle1[[#This Row],[corr_z]]/1000</f>
        <v>5.5</v>
      </c>
      <c r="V381" s="8">
        <f>Tabelle1[[#This Row],[corr_soma_x]]/1000</f>
        <v>7.6831100000000001</v>
      </c>
      <c r="W381" s="8">
        <f>Tabelle1[[#This Row],[corr_soma_y]]/1000</f>
        <v>25.189399999999999</v>
      </c>
      <c r="X381" s="8">
        <f>Tabelle1[[#This Row],[corr_soma_z]]/1000</f>
        <v>1.25</v>
      </c>
    </row>
    <row r="382" spans="1:24" x14ac:dyDescent="0.35">
      <c r="A382" s="7" t="s">
        <v>15</v>
      </c>
      <c r="B382" s="7" t="s">
        <v>18</v>
      </c>
      <c r="C382" s="6">
        <v>35</v>
      </c>
      <c r="D382" s="5">
        <v>4839.2699999999995</v>
      </c>
      <c r="E382" s="5">
        <v>10245.300000000001</v>
      </c>
      <c r="F382" s="5">
        <v>5550</v>
      </c>
      <c r="G382" s="5">
        <v>7683.11</v>
      </c>
      <c r="H382" s="5">
        <v>25189.399999999998</v>
      </c>
      <c r="I382" s="5">
        <v>1250</v>
      </c>
      <c r="J382" s="5">
        <v>4839.2699999999995</v>
      </c>
      <c r="K382" s="5">
        <v>10245.300000000001</v>
      </c>
      <c r="L382" s="5">
        <v>5550</v>
      </c>
      <c r="M382" s="5">
        <v>7683.11</v>
      </c>
      <c r="N382" s="5">
        <v>25189.399999999998</v>
      </c>
      <c r="O382" s="5">
        <v>1250</v>
      </c>
      <c r="P382" s="8">
        <v>4.56173E-2</v>
      </c>
      <c r="Q382" s="8">
        <v>0.53922599999999998</v>
      </c>
      <c r="R382" s="8">
        <v>2.3925999999999999E-2</v>
      </c>
      <c r="S382" s="8">
        <f>Tabelle1[[#This Row],[corr_x]]/1000</f>
        <v>4.83927</v>
      </c>
      <c r="T382" s="8">
        <f>Tabelle1[[#This Row],[corr_y]]/1000</f>
        <v>10.2453</v>
      </c>
      <c r="U382" s="8">
        <f>Tabelle1[[#This Row],[corr_z]]/1000</f>
        <v>5.55</v>
      </c>
      <c r="V382" s="8">
        <f>Tabelle1[[#This Row],[corr_soma_x]]/1000</f>
        <v>7.6831100000000001</v>
      </c>
      <c r="W382" s="8">
        <f>Tabelle1[[#This Row],[corr_soma_y]]/1000</f>
        <v>25.189399999999999</v>
      </c>
      <c r="X382" s="8">
        <f>Tabelle1[[#This Row],[corr_soma_z]]/1000</f>
        <v>1.25</v>
      </c>
    </row>
    <row r="383" spans="1:24" x14ac:dyDescent="0.35">
      <c r="A383" s="7" t="s">
        <v>15</v>
      </c>
      <c r="B383" s="7" t="s">
        <v>18</v>
      </c>
      <c r="C383" s="6">
        <v>36</v>
      </c>
      <c r="D383" s="5">
        <v>4469.53</v>
      </c>
      <c r="E383" s="5">
        <v>10709.5</v>
      </c>
      <c r="F383" s="5">
        <v>5550</v>
      </c>
      <c r="G383" s="5">
        <v>7683.11</v>
      </c>
      <c r="H383" s="5">
        <v>25189.399999999998</v>
      </c>
      <c r="I383" s="5">
        <v>1250</v>
      </c>
      <c r="J383" s="5">
        <v>4469.53</v>
      </c>
      <c r="K383" s="5">
        <v>10709.5</v>
      </c>
      <c r="L383" s="5">
        <v>5550</v>
      </c>
      <c r="M383" s="5">
        <v>7683.11</v>
      </c>
      <c r="N383" s="5">
        <v>25189.399999999998</v>
      </c>
      <c r="O383" s="5">
        <v>1250</v>
      </c>
      <c r="P383" s="8">
        <v>4.3874200000000002E-2</v>
      </c>
      <c r="Q383" s="8">
        <v>0.70676799999999995</v>
      </c>
      <c r="R383" s="8">
        <v>4.0933999999999998E-2</v>
      </c>
      <c r="S383" s="8">
        <f>Tabelle1[[#This Row],[corr_x]]/1000</f>
        <v>4.4695299999999998</v>
      </c>
      <c r="T383" s="8">
        <f>Tabelle1[[#This Row],[corr_y]]/1000</f>
        <v>10.7095</v>
      </c>
      <c r="U383" s="8">
        <f>Tabelle1[[#This Row],[corr_z]]/1000</f>
        <v>5.55</v>
      </c>
      <c r="V383" s="8">
        <f>Tabelle1[[#This Row],[corr_soma_x]]/1000</f>
        <v>7.6831100000000001</v>
      </c>
      <c r="W383" s="8">
        <f>Tabelle1[[#This Row],[corr_soma_y]]/1000</f>
        <v>25.189399999999999</v>
      </c>
      <c r="X383" s="8">
        <f>Tabelle1[[#This Row],[corr_soma_z]]/1000</f>
        <v>1.25</v>
      </c>
    </row>
    <row r="384" spans="1:24" x14ac:dyDescent="0.35">
      <c r="A384" s="7" t="s">
        <v>15</v>
      </c>
      <c r="B384" s="7" t="s">
        <v>18</v>
      </c>
      <c r="C384" s="6">
        <v>37</v>
      </c>
      <c r="D384" s="5">
        <v>4077.165</v>
      </c>
      <c r="E384" s="5">
        <v>10202.649999999998</v>
      </c>
      <c r="F384" s="5">
        <v>5525</v>
      </c>
      <c r="G384" s="5">
        <v>7683.11</v>
      </c>
      <c r="H384" s="5">
        <v>25189.399999999998</v>
      </c>
      <c r="I384" s="5">
        <v>1250</v>
      </c>
      <c r="J384" s="5">
        <v>4077.165</v>
      </c>
      <c r="K384" s="5">
        <v>10202.649999999998</v>
      </c>
      <c r="L384" s="5">
        <v>5525</v>
      </c>
      <c r="M384" s="5">
        <v>7683.11</v>
      </c>
      <c r="N384" s="5">
        <v>25189.399999999998</v>
      </c>
      <c r="O384" s="5">
        <v>1250</v>
      </c>
      <c r="P384" s="8">
        <v>3.41722E-2</v>
      </c>
      <c r="Q384" s="8">
        <v>0.48376200000000003</v>
      </c>
      <c r="R384" s="8">
        <v>2.4459700000000001E-2</v>
      </c>
      <c r="S384" s="8">
        <f>Tabelle1[[#This Row],[corr_x]]/1000</f>
        <v>4.0771649999999999</v>
      </c>
      <c r="T384" s="8">
        <f>Tabelle1[[#This Row],[corr_y]]/1000</f>
        <v>10.202649999999998</v>
      </c>
      <c r="U384" s="8">
        <f>Tabelle1[[#This Row],[corr_z]]/1000</f>
        <v>5.5250000000000004</v>
      </c>
      <c r="V384" s="8">
        <f>Tabelle1[[#This Row],[corr_soma_x]]/1000</f>
        <v>7.6831100000000001</v>
      </c>
      <c r="W384" s="8">
        <f>Tabelle1[[#This Row],[corr_soma_y]]/1000</f>
        <v>25.189399999999999</v>
      </c>
      <c r="X384" s="8">
        <f>Tabelle1[[#This Row],[corr_soma_z]]/1000</f>
        <v>1.25</v>
      </c>
    </row>
    <row r="385" spans="1:24" x14ac:dyDescent="0.35">
      <c r="A385" s="7" t="s">
        <v>15</v>
      </c>
      <c r="B385" s="7" t="s">
        <v>19</v>
      </c>
      <c r="C385" s="6">
        <v>11</v>
      </c>
      <c r="D385" s="5">
        <v>7515.32</v>
      </c>
      <c r="E385" s="5">
        <v>14688.65</v>
      </c>
      <c r="F385" s="5">
        <v>5574.9999999999991</v>
      </c>
      <c r="G385" s="5">
        <v>7683.11</v>
      </c>
      <c r="H385" s="5">
        <v>25189.399999999998</v>
      </c>
      <c r="I385" s="5">
        <v>1250</v>
      </c>
      <c r="J385" s="5">
        <v>7515.32</v>
      </c>
      <c r="K385" s="5">
        <v>14688.65</v>
      </c>
      <c r="L385" s="5">
        <v>5574.9999999999991</v>
      </c>
      <c r="M385" s="5">
        <v>7683.11</v>
      </c>
      <c r="N385" s="5">
        <v>25189.399999999998</v>
      </c>
      <c r="O385" s="5">
        <v>1250</v>
      </c>
      <c r="P385" s="8">
        <v>1.9811200000000001E-2</v>
      </c>
      <c r="Q385" s="8">
        <v>0.94184000000000001</v>
      </c>
      <c r="R385" s="8">
        <v>6.1744599999999997E-2</v>
      </c>
      <c r="S385" s="8">
        <f>Tabelle1[[#This Row],[corr_x]]/1000</f>
        <v>7.51532</v>
      </c>
      <c r="T385" s="8">
        <f>Tabelle1[[#This Row],[corr_y]]/1000</f>
        <v>14.688649999999999</v>
      </c>
      <c r="U385" s="8">
        <f>Tabelle1[[#This Row],[corr_z]]/1000</f>
        <v>5.5749999999999993</v>
      </c>
      <c r="V385" s="8">
        <f>Tabelle1[[#This Row],[corr_soma_x]]/1000</f>
        <v>7.6831100000000001</v>
      </c>
      <c r="W385" s="8">
        <f>Tabelle1[[#This Row],[corr_soma_y]]/1000</f>
        <v>25.189399999999999</v>
      </c>
      <c r="X385" s="8">
        <f>Tabelle1[[#This Row],[corr_soma_z]]/1000</f>
        <v>1.25</v>
      </c>
    </row>
    <row r="386" spans="1:24" x14ac:dyDescent="0.35">
      <c r="A386" s="7" t="s">
        <v>15</v>
      </c>
      <c r="B386" s="7" t="s">
        <v>19</v>
      </c>
      <c r="C386" s="6">
        <v>12</v>
      </c>
      <c r="D386" s="5">
        <v>7076.8</v>
      </c>
      <c r="E386" s="5">
        <v>15659.800000000001</v>
      </c>
      <c r="F386" s="5">
        <v>5450</v>
      </c>
      <c r="G386" s="5">
        <v>7683.11</v>
      </c>
      <c r="H386" s="5">
        <v>25189.399999999998</v>
      </c>
      <c r="I386" s="5">
        <v>1250</v>
      </c>
      <c r="J386" s="5">
        <v>7076.8</v>
      </c>
      <c r="K386" s="5">
        <v>15659.800000000001</v>
      </c>
      <c r="L386" s="5">
        <v>5450</v>
      </c>
      <c r="M386" s="5">
        <v>7683.11</v>
      </c>
      <c r="N386" s="5">
        <v>25189.399999999998</v>
      </c>
      <c r="O386" s="5">
        <v>1250</v>
      </c>
      <c r="P386" s="8">
        <v>5.9306600000000001E-2</v>
      </c>
      <c r="Q386" s="8">
        <v>3.3797100000000002</v>
      </c>
      <c r="R386" s="8">
        <v>0.40486100000000003</v>
      </c>
      <c r="S386" s="8">
        <f>Tabelle1[[#This Row],[corr_x]]/1000</f>
        <v>7.0768000000000004</v>
      </c>
      <c r="T386" s="8">
        <f>Tabelle1[[#This Row],[corr_y]]/1000</f>
        <v>15.659800000000001</v>
      </c>
      <c r="U386" s="8">
        <f>Tabelle1[[#This Row],[corr_z]]/1000</f>
        <v>5.45</v>
      </c>
      <c r="V386" s="8">
        <f>Tabelle1[[#This Row],[corr_soma_x]]/1000</f>
        <v>7.6831100000000001</v>
      </c>
      <c r="W386" s="8">
        <f>Tabelle1[[#This Row],[corr_soma_y]]/1000</f>
        <v>25.189399999999999</v>
      </c>
      <c r="X386" s="8">
        <f>Tabelle1[[#This Row],[corr_soma_z]]/1000</f>
        <v>1.25</v>
      </c>
    </row>
    <row r="387" spans="1:24" x14ac:dyDescent="0.35">
      <c r="A387" s="7" t="s">
        <v>15</v>
      </c>
      <c r="B387" s="7" t="s">
        <v>18</v>
      </c>
      <c r="C387" s="6">
        <v>38</v>
      </c>
      <c r="D387" s="5">
        <v>7110.6100000000006</v>
      </c>
      <c r="E387" s="5">
        <v>14362.6</v>
      </c>
      <c r="F387" s="5">
        <v>5750</v>
      </c>
      <c r="G387" s="5">
        <v>7683.11</v>
      </c>
      <c r="H387" s="5">
        <v>25189.399999999998</v>
      </c>
      <c r="I387" s="5">
        <v>1250</v>
      </c>
      <c r="J387" s="5">
        <v>7110.6100000000006</v>
      </c>
      <c r="K387" s="5">
        <v>14362.6</v>
      </c>
      <c r="L387" s="5">
        <v>5750</v>
      </c>
      <c r="M387" s="5">
        <v>7683.11</v>
      </c>
      <c r="N387" s="5">
        <v>25189.399999999998</v>
      </c>
      <c r="O387" s="5">
        <v>1250</v>
      </c>
      <c r="P387" s="8">
        <v>5.5502900000000001E-2</v>
      </c>
      <c r="Q387" s="8">
        <v>0.84984999999999999</v>
      </c>
      <c r="R387" s="8">
        <v>4.8018699999999997E-2</v>
      </c>
      <c r="S387" s="8">
        <f>Tabelle1[[#This Row],[corr_x]]/1000</f>
        <v>7.1106100000000003</v>
      </c>
      <c r="T387" s="8">
        <f>Tabelle1[[#This Row],[corr_y]]/1000</f>
        <v>14.3626</v>
      </c>
      <c r="U387" s="8">
        <f>Tabelle1[[#This Row],[corr_z]]/1000</f>
        <v>5.75</v>
      </c>
      <c r="V387" s="8">
        <f>Tabelle1[[#This Row],[corr_soma_x]]/1000</f>
        <v>7.6831100000000001</v>
      </c>
      <c r="W387" s="8">
        <f>Tabelle1[[#This Row],[corr_soma_y]]/1000</f>
        <v>25.189399999999999</v>
      </c>
      <c r="X387" s="8">
        <f>Tabelle1[[#This Row],[corr_soma_z]]/1000</f>
        <v>1.25</v>
      </c>
    </row>
    <row r="388" spans="1:24" x14ac:dyDescent="0.35">
      <c r="A388" s="7" t="s">
        <v>15</v>
      </c>
      <c r="B388" s="7" t="s">
        <v>18</v>
      </c>
      <c r="C388" s="6">
        <v>39</v>
      </c>
      <c r="D388" s="5">
        <v>6761.24</v>
      </c>
      <c r="E388" s="5">
        <v>14698.800000000001</v>
      </c>
      <c r="F388" s="5">
        <v>5900</v>
      </c>
      <c r="G388" s="5">
        <v>7683.11</v>
      </c>
      <c r="H388" s="5">
        <v>25189.399999999998</v>
      </c>
      <c r="I388" s="5">
        <v>1250</v>
      </c>
      <c r="J388" s="5">
        <v>6761.24</v>
      </c>
      <c r="K388" s="5">
        <v>14698.800000000001</v>
      </c>
      <c r="L388" s="5">
        <v>5900</v>
      </c>
      <c r="M388" s="5">
        <v>7683.11</v>
      </c>
      <c r="N388" s="5">
        <v>25189.399999999998</v>
      </c>
      <c r="O388" s="5">
        <v>1250</v>
      </c>
      <c r="P388" s="8">
        <v>0.102466</v>
      </c>
      <c r="Q388" s="8">
        <v>1.4640200000000001</v>
      </c>
      <c r="R388" s="8">
        <v>0.108126</v>
      </c>
      <c r="S388" s="8">
        <f>Tabelle1[[#This Row],[corr_x]]/1000</f>
        <v>6.7612399999999999</v>
      </c>
      <c r="T388" s="8">
        <f>Tabelle1[[#This Row],[corr_y]]/1000</f>
        <v>14.6988</v>
      </c>
      <c r="U388" s="8">
        <f>Tabelle1[[#This Row],[corr_z]]/1000</f>
        <v>5.9</v>
      </c>
      <c r="V388" s="8">
        <f>Tabelle1[[#This Row],[corr_soma_x]]/1000</f>
        <v>7.6831100000000001</v>
      </c>
      <c r="W388" s="8">
        <f>Tabelle1[[#This Row],[corr_soma_y]]/1000</f>
        <v>25.189399999999999</v>
      </c>
      <c r="X388" s="8">
        <f>Tabelle1[[#This Row],[corr_soma_z]]/1000</f>
        <v>1.25</v>
      </c>
    </row>
    <row r="389" spans="1:24" x14ac:dyDescent="0.35">
      <c r="A389" s="7" t="s">
        <v>15</v>
      </c>
      <c r="B389" s="7" t="s">
        <v>18</v>
      </c>
      <c r="C389" s="6">
        <v>40</v>
      </c>
      <c r="D389" s="5">
        <v>7338.38</v>
      </c>
      <c r="E389" s="5">
        <v>15113.05</v>
      </c>
      <c r="F389" s="5">
        <v>5875</v>
      </c>
      <c r="G389" s="5">
        <v>7683.11</v>
      </c>
      <c r="H389" s="5">
        <v>25189.399999999998</v>
      </c>
      <c r="I389" s="5">
        <v>1250</v>
      </c>
      <c r="J389" s="5">
        <v>7338.38</v>
      </c>
      <c r="K389" s="5">
        <v>15113.05</v>
      </c>
      <c r="L389" s="5">
        <v>5875</v>
      </c>
      <c r="M389" s="5">
        <v>7683.11</v>
      </c>
      <c r="N389" s="5">
        <v>25189.399999999998</v>
      </c>
      <c r="O389" s="5">
        <v>1250</v>
      </c>
      <c r="P389" s="8">
        <v>6.3697299999999998E-2</v>
      </c>
      <c r="Q389" s="8">
        <v>1.6403399999999999</v>
      </c>
      <c r="R389" s="8">
        <v>8.3035100000000001E-2</v>
      </c>
      <c r="S389" s="8">
        <f>Tabelle1[[#This Row],[corr_x]]/1000</f>
        <v>7.3383799999999999</v>
      </c>
      <c r="T389" s="8">
        <f>Tabelle1[[#This Row],[corr_y]]/1000</f>
        <v>15.113049999999999</v>
      </c>
      <c r="U389" s="8">
        <f>Tabelle1[[#This Row],[corr_z]]/1000</f>
        <v>5.875</v>
      </c>
      <c r="V389" s="8">
        <f>Tabelle1[[#This Row],[corr_soma_x]]/1000</f>
        <v>7.6831100000000001</v>
      </c>
      <c r="W389" s="8">
        <f>Tabelle1[[#This Row],[corr_soma_y]]/1000</f>
        <v>25.189399999999999</v>
      </c>
      <c r="X389" s="8">
        <f>Tabelle1[[#This Row],[corr_soma_z]]/1000</f>
        <v>1.25</v>
      </c>
    </row>
    <row r="390" spans="1:24" x14ac:dyDescent="0.35">
      <c r="A390" s="7" t="s">
        <v>15</v>
      </c>
      <c r="B390" s="7" t="s">
        <v>18</v>
      </c>
      <c r="C390" s="6">
        <v>41</v>
      </c>
      <c r="D390" s="5">
        <v>6785.7699999999995</v>
      </c>
      <c r="E390" s="5">
        <v>14698.699999999999</v>
      </c>
      <c r="F390" s="5">
        <v>6574.9999999999991</v>
      </c>
      <c r="G390" s="5">
        <v>7683.11</v>
      </c>
      <c r="H390" s="5">
        <v>25189.399999999998</v>
      </c>
      <c r="I390" s="5">
        <v>1250</v>
      </c>
      <c r="J390" s="5">
        <v>6785.7699999999995</v>
      </c>
      <c r="K390" s="5">
        <v>14698.699999999999</v>
      </c>
      <c r="L390" s="5">
        <v>6574.9999999999991</v>
      </c>
      <c r="M390" s="5">
        <v>7683.11</v>
      </c>
      <c r="N390" s="5">
        <v>25189.399999999998</v>
      </c>
      <c r="O390" s="5">
        <v>1250</v>
      </c>
      <c r="P390" s="8">
        <v>4.2368200000000002E-2</v>
      </c>
      <c r="Q390" s="8">
        <v>1.42136</v>
      </c>
      <c r="R390" s="8">
        <v>8.7161699999999995E-2</v>
      </c>
      <c r="S390" s="8">
        <f>Tabelle1[[#This Row],[corr_x]]/1000</f>
        <v>6.7857699999999994</v>
      </c>
      <c r="T390" s="8">
        <f>Tabelle1[[#This Row],[corr_y]]/1000</f>
        <v>14.698699999999999</v>
      </c>
      <c r="U390" s="8">
        <f>Tabelle1[[#This Row],[corr_z]]/1000</f>
        <v>6.5749999999999993</v>
      </c>
      <c r="V390" s="8">
        <f>Tabelle1[[#This Row],[corr_soma_x]]/1000</f>
        <v>7.6831100000000001</v>
      </c>
      <c r="W390" s="8">
        <f>Tabelle1[[#This Row],[corr_soma_y]]/1000</f>
        <v>25.189399999999999</v>
      </c>
      <c r="X390" s="8">
        <f>Tabelle1[[#This Row],[corr_soma_z]]/1000</f>
        <v>1.25</v>
      </c>
    </row>
    <row r="391" spans="1:24" x14ac:dyDescent="0.35">
      <c r="A391" s="7" t="s">
        <v>15</v>
      </c>
      <c r="B391" s="7" t="s">
        <v>19</v>
      </c>
      <c r="C391" s="6">
        <v>13</v>
      </c>
      <c r="D391" s="5">
        <v>7499.1299999999992</v>
      </c>
      <c r="E391" s="5">
        <v>13979.25</v>
      </c>
      <c r="F391" s="5">
        <v>6875</v>
      </c>
      <c r="G391" s="5">
        <v>7683.11</v>
      </c>
      <c r="H391" s="5">
        <v>25189.399999999998</v>
      </c>
      <c r="I391" s="5">
        <v>1250</v>
      </c>
      <c r="J391" s="5">
        <v>7499.1299999999992</v>
      </c>
      <c r="K391" s="5">
        <v>13979.25</v>
      </c>
      <c r="L391" s="5">
        <v>6875</v>
      </c>
      <c r="M391" s="5">
        <v>7683.11</v>
      </c>
      <c r="N391" s="5">
        <v>25189.399999999998</v>
      </c>
      <c r="O391" s="5">
        <v>1250</v>
      </c>
      <c r="P391" s="8">
        <v>5.2934200000000001E-2</v>
      </c>
      <c r="Q391" s="8">
        <v>1.2936099999999999</v>
      </c>
      <c r="R391" s="8">
        <v>6.2926200000000002E-2</v>
      </c>
      <c r="S391" s="8">
        <f>Tabelle1[[#This Row],[corr_x]]/1000</f>
        <v>7.4991299999999992</v>
      </c>
      <c r="T391" s="8">
        <f>Tabelle1[[#This Row],[corr_y]]/1000</f>
        <v>13.97925</v>
      </c>
      <c r="U391" s="8">
        <f>Tabelle1[[#This Row],[corr_z]]/1000</f>
        <v>6.875</v>
      </c>
      <c r="V391" s="8">
        <f>Tabelle1[[#This Row],[corr_soma_x]]/1000</f>
        <v>7.6831100000000001</v>
      </c>
      <c r="W391" s="8">
        <f>Tabelle1[[#This Row],[corr_soma_y]]/1000</f>
        <v>25.189399999999999</v>
      </c>
      <c r="X391" s="8">
        <f>Tabelle1[[#This Row],[corr_soma_z]]/1000</f>
        <v>1.25</v>
      </c>
    </row>
    <row r="392" spans="1:24" x14ac:dyDescent="0.35">
      <c r="A392" s="7" t="s">
        <v>15</v>
      </c>
      <c r="B392" s="7" t="s">
        <v>19</v>
      </c>
      <c r="C392" s="6">
        <v>14</v>
      </c>
      <c r="D392" s="5">
        <v>7651.12</v>
      </c>
      <c r="E392" s="5">
        <v>14641.400000000001</v>
      </c>
      <c r="F392" s="5">
        <v>6700</v>
      </c>
      <c r="G392" s="5">
        <v>7683.11</v>
      </c>
      <c r="H392" s="5">
        <v>25189.399999999998</v>
      </c>
      <c r="I392" s="5">
        <v>1250</v>
      </c>
      <c r="J392" s="5">
        <v>7651.12</v>
      </c>
      <c r="K392" s="5">
        <v>14641.400000000001</v>
      </c>
      <c r="L392" s="5">
        <v>6700</v>
      </c>
      <c r="M392" s="5">
        <v>7683.11</v>
      </c>
      <c r="N392" s="5">
        <v>25189.399999999998</v>
      </c>
      <c r="O392" s="5">
        <v>1250</v>
      </c>
      <c r="P392" s="8">
        <v>0.100856</v>
      </c>
      <c r="Q392" s="8">
        <v>3.07152</v>
      </c>
      <c r="R392" s="8">
        <v>0.233071</v>
      </c>
      <c r="S392" s="8">
        <f>Tabelle1[[#This Row],[corr_x]]/1000</f>
        <v>7.6511199999999997</v>
      </c>
      <c r="T392" s="8">
        <f>Tabelle1[[#This Row],[corr_y]]/1000</f>
        <v>14.641400000000001</v>
      </c>
      <c r="U392" s="8">
        <f>Tabelle1[[#This Row],[corr_z]]/1000</f>
        <v>6.7</v>
      </c>
      <c r="V392" s="8">
        <f>Tabelle1[[#This Row],[corr_soma_x]]/1000</f>
        <v>7.6831100000000001</v>
      </c>
      <c r="W392" s="8">
        <f>Tabelle1[[#This Row],[corr_soma_y]]/1000</f>
        <v>25.189399999999999</v>
      </c>
      <c r="X392" s="8">
        <f>Tabelle1[[#This Row],[corr_soma_z]]/1000</f>
        <v>1.25</v>
      </c>
    </row>
    <row r="393" spans="1:24" x14ac:dyDescent="0.35">
      <c r="A393" s="7" t="s">
        <v>15</v>
      </c>
      <c r="B393" s="7" t="s">
        <v>18</v>
      </c>
      <c r="C393" s="6">
        <v>42</v>
      </c>
      <c r="D393" s="5">
        <v>6671.2650000000003</v>
      </c>
      <c r="E393" s="5">
        <v>15044.800000000001</v>
      </c>
      <c r="F393" s="5">
        <v>6625</v>
      </c>
      <c r="G393" s="5">
        <v>7683.11</v>
      </c>
      <c r="H393" s="5">
        <v>25189.399999999998</v>
      </c>
      <c r="I393" s="5">
        <v>1250</v>
      </c>
      <c r="J393" s="5">
        <v>6671.2650000000003</v>
      </c>
      <c r="K393" s="5">
        <v>15044.800000000001</v>
      </c>
      <c r="L393" s="5">
        <v>6625</v>
      </c>
      <c r="M393" s="5">
        <v>7683.11</v>
      </c>
      <c r="N393" s="5">
        <v>25189.399999999998</v>
      </c>
      <c r="O393" s="5">
        <v>1250</v>
      </c>
      <c r="P393" s="8">
        <v>2.2528400000000001E-2</v>
      </c>
      <c r="Q393" s="8">
        <v>0.93184900000000004</v>
      </c>
      <c r="R393" s="8">
        <v>5.7767100000000002E-2</v>
      </c>
      <c r="S393" s="8">
        <f>Tabelle1[[#This Row],[corr_x]]/1000</f>
        <v>6.671265</v>
      </c>
      <c r="T393" s="8">
        <f>Tabelle1[[#This Row],[corr_y]]/1000</f>
        <v>15.0448</v>
      </c>
      <c r="U393" s="8">
        <f>Tabelle1[[#This Row],[corr_z]]/1000</f>
        <v>6.625</v>
      </c>
      <c r="V393" s="8">
        <f>Tabelle1[[#This Row],[corr_soma_x]]/1000</f>
        <v>7.6831100000000001</v>
      </c>
      <c r="W393" s="8">
        <f>Tabelle1[[#This Row],[corr_soma_y]]/1000</f>
        <v>25.189399999999999</v>
      </c>
      <c r="X393" s="8">
        <f>Tabelle1[[#This Row],[corr_soma_z]]/1000</f>
        <v>1.25</v>
      </c>
    </row>
    <row r="394" spans="1:24" x14ac:dyDescent="0.35">
      <c r="A394" s="7" t="s">
        <v>15</v>
      </c>
      <c r="B394" s="7" t="s">
        <v>18</v>
      </c>
      <c r="C394" s="6">
        <v>43</v>
      </c>
      <c r="D394" s="5">
        <v>7977.53</v>
      </c>
      <c r="E394" s="5">
        <v>14049.6</v>
      </c>
      <c r="F394" s="5">
        <v>6875</v>
      </c>
      <c r="G394" s="5">
        <v>7683.11</v>
      </c>
      <c r="H394" s="5">
        <v>25189.399999999998</v>
      </c>
      <c r="I394" s="5">
        <v>1250</v>
      </c>
      <c r="J394" s="5">
        <v>7977.53</v>
      </c>
      <c r="K394" s="5">
        <v>14049.6</v>
      </c>
      <c r="L394" s="5">
        <v>6875</v>
      </c>
      <c r="M394" s="5">
        <v>7683.11</v>
      </c>
      <c r="N394" s="5">
        <v>25189.399999999998</v>
      </c>
      <c r="O394" s="5">
        <v>1250</v>
      </c>
      <c r="P394" s="8">
        <v>1.46196E-2</v>
      </c>
      <c r="Q394" s="8">
        <v>1.1910700000000001</v>
      </c>
      <c r="R394" s="8">
        <v>8.51301E-2</v>
      </c>
      <c r="S394" s="8">
        <f>Tabelle1[[#This Row],[corr_x]]/1000</f>
        <v>7.9775299999999998</v>
      </c>
      <c r="T394" s="8">
        <f>Tabelle1[[#This Row],[corr_y]]/1000</f>
        <v>14.0496</v>
      </c>
      <c r="U394" s="8">
        <f>Tabelle1[[#This Row],[corr_z]]/1000</f>
        <v>6.875</v>
      </c>
      <c r="V394" s="8">
        <f>Tabelle1[[#This Row],[corr_soma_x]]/1000</f>
        <v>7.6831100000000001</v>
      </c>
      <c r="W394" s="8">
        <f>Tabelle1[[#This Row],[corr_soma_y]]/1000</f>
        <v>25.189399999999999</v>
      </c>
      <c r="X394" s="8">
        <f>Tabelle1[[#This Row],[corr_soma_z]]/1000</f>
        <v>1.25</v>
      </c>
    </row>
    <row r="395" spans="1:24" x14ac:dyDescent="0.35">
      <c r="A395" s="7" t="s">
        <v>15</v>
      </c>
      <c r="B395" s="7" t="s">
        <v>18</v>
      </c>
      <c r="C395" s="6">
        <v>44</v>
      </c>
      <c r="D395" s="5">
        <v>7061.91</v>
      </c>
      <c r="E395" s="5">
        <v>14811.199999999999</v>
      </c>
      <c r="F395" s="5">
        <v>7100</v>
      </c>
      <c r="G395" s="5">
        <v>7683.11</v>
      </c>
      <c r="H395" s="5">
        <v>25189.399999999998</v>
      </c>
      <c r="I395" s="5">
        <v>1250</v>
      </c>
      <c r="J395" s="5">
        <v>7061.91</v>
      </c>
      <c r="K395" s="5">
        <v>14811.199999999999</v>
      </c>
      <c r="L395" s="5">
        <v>7100</v>
      </c>
      <c r="M395" s="5">
        <v>7683.11</v>
      </c>
      <c r="N395" s="5">
        <v>25189.399999999998</v>
      </c>
      <c r="O395" s="5">
        <v>1250</v>
      </c>
      <c r="P395" s="8">
        <v>7.0362400000000005E-2</v>
      </c>
      <c r="Q395" s="8">
        <v>1.6545799999999999</v>
      </c>
      <c r="R395" s="8">
        <v>0.15515899999999999</v>
      </c>
      <c r="S395" s="8">
        <f>Tabelle1[[#This Row],[corr_x]]/1000</f>
        <v>7.0619100000000001</v>
      </c>
      <c r="T395" s="8">
        <f>Tabelle1[[#This Row],[corr_y]]/1000</f>
        <v>14.811199999999999</v>
      </c>
      <c r="U395" s="8">
        <f>Tabelle1[[#This Row],[corr_z]]/1000</f>
        <v>7.1</v>
      </c>
      <c r="V395" s="8">
        <f>Tabelle1[[#This Row],[corr_soma_x]]/1000</f>
        <v>7.6831100000000001</v>
      </c>
      <c r="W395" s="8">
        <f>Tabelle1[[#This Row],[corr_soma_y]]/1000</f>
        <v>25.189399999999999</v>
      </c>
      <c r="X395" s="8">
        <f>Tabelle1[[#This Row],[corr_soma_z]]/1000</f>
        <v>1.25</v>
      </c>
    </row>
    <row r="396" spans="1:24" x14ac:dyDescent="0.35">
      <c r="A396" s="7" t="s">
        <v>15</v>
      </c>
      <c r="B396" s="7" t="s">
        <v>18</v>
      </c>
      <c r="C396" s="6">
        <v>45</v>
      </c>
      <c r="D396" s="5">
        <v>6956.92</v>
      </c>
      <c r="E396" s="5">
        <v>14606.9</v>
      </c>
      <c r="F396" s="5">
        <v>7125</v>
      </c>
      <c r="G396" s="5">
        <v>7683.11</v>
      </c>
      <c r="H396" s="5">
        <v>25189.399999999998</v>
      </c>
      <c r="I396" s="5">
        <v>1250</v>
      </c>
      <c r="J396" s="5">
        <v>6956.92</v>
      </c>
      <c r="K396" s="5">
        <v>14606.9</v>
      </c>
      <c r="L396" s="5">
        <v>7125</v>
      </c>
      <c r="M396" s="5">
        <v>7683.11</v>
      </c>
      <c r="N396" s="5">
        <v>25189.399999999998</v>
      </c>
      <c r="O396" s="5">
        <v>1250</v>
      </c>
      <c r="P396" s="8">
        <v>1.9025899999999998E-2</v>
      </c>
      <c r="Q396" s="8">
        <v>0.81116600000000005</v>
      </c>
      <c r="R396" s="8">
        <v>4.8674799999999997E-2</v>
      </c>
      <c r="S396" s="8">
        <f>Tabelle1[[#This Row],[corr_x]]/1000</f>
        <v>6.9569200000000002</v>
      </c>
      <c r="T396" s="8">
        <f>Tabelle1[[#This Row],[corr_y]]/1000</f>
        <v>14.6069</v>
      </c>
      <c r="U396" s="8">
        <f>Tabelle1[[#This Row],[corr_z]]/1000</f>
        <v>7.125</v>
      </c>
      <c r="V396" s="8">
        <f>Tabelle1[[#This Row],[corr_soma_x]]/1000</f>
        <v>7.6831100000000001</v>
      </c>
      <c r="W396" s="8">
        <f>Tabelle1[[#This Row],[corr_soma_y]]/1000</f>
        <v>25.189399999999999</v>
      </c>
      <c r="X396" s="8">
        <f>Tabelle1[[#This Row],[corr_soma_z]]/1000</f>
        <v>1.25</v>
      </c>
    </row>
    <row r="397" spans="1:24" x14ac:dyDescent="0.35">
      <c r="A397" s="7" t="s">
        <v>15</v>
      </c>
      <c r="B397" s="7" t="s">
        <v>18</v>
      </c>
      <c r="C397" s="6">
        <v>46</v>
      </c>
      <c r="D397" s="5">
        <v>7666.4150000000009</v>
      </c>
      <c r="E397" s="5">
        <v>14488.150000000001</v>
      </c>
      <c r="F397" s="5">
        <v>7175.0000000000009</v>
      </c>
      <c r="G397" s="5">
        <v>7683.11</v>
      </c>
      <c r="H397" s="5">
        <v>25189.399999999998</v>
      </c>
      <c r="I397" s="5">
        <v>1250</v>
      </c>
      <c r="J397" s="5">
        <v>7666.4150000000009</v>
      </c>
      <c r="K397" s="5">
        <v>14488.150000000001</v>
      </c>
      <c r="L397" s="5">
        <v>7175.0000000000009</v>
      </c>
      <c r="M397" s="5">
        <v>7683.11</v>
      </c>
      <c r="N397" s="5">
        <v>25189.399999999998</v>
      </c>
      <c r="O397" s="5">
        <v>1250</v>
      </c>
      <c r="P397" s="8">
        <v>5.3314399999999998E-2</v>
      </c>
      <c r="Q397" s="8">
        <v>0.88526000000000005</v>
      </c>
      <c r="R397" s="8">
        <v>3.8142799999999998E-2</v>
      </c>
      <c r="S397" s="8">
        <f>Tabelle1[[#This Row],[corr_x]]/1000</f>
        <v>7.6664150000000006</v>
      </c>
      <c r="T397" s="8">
        <f>Tabelle1[[#This Row],[corr_y]]/1000</f>
        <v>14.488150000000001</v>
      </c>
      <c r="U397" s="8">
        <f>Tabelle1[[#This Row],[corr_z]]/1000</f>
        <v>7.1750000000000007</v>
      </c>
      <c r="V397" s="8">
        <f>Tabelle1[[#This Row],[corr_soma_x]]/1000</f>
        <v>7.6831100000000001</v>
      </c>
      <c r="W397" s="8">
        <f>Tabelle1[[#This Row],[corr_soma_y]]/1000</f>
        <v>25.189399999999999</v>
      </c>
      <c r="X397" s="8">
        <f>Tabelle1[[#This Row],[corr_soma_z]]/1000</f>
        <v>1.25</v>
      </c>
    </row>
    <row r="398" spans="1:24" x14ac:dyDescent="0.35">
      <c r="A398" s="7" t="s">
        <v>15</v>
      </c>
      <c r="B398" s="7" t="s">
        <v>18</v>
      </c>
      <c r="C398" s="6">
        <v>47</v>
      </c>
      <c r="D398" s="5">
        <v>7991.92</v>
      </c>
      <c r="E398" s="5">
        <v>14123.8</v>
      </c>
      <c r="F398" s="5">
        <v>7450</v>
      </c>
      <c r="G398" s="5">
        <v>7683.11</v>
      </c>
      <c r="H398" s="5">
        <v>25189.399999999998</v>
      </c>
      <c r="I398" s="5">
        <v>1250</v>
      </c>
      <c r="J398" s="5">
        <v>7991.92</v>
      </c>
      <c r="K398" s="5">
        <v>14123.8</v>
      </c>
      <c r="L398" s="5">
        <v>7450</v>
      </c>
      <c r="M398" s="5">
        <v>7683.11</v>
      </c>
      <c r="N398" s="5">
        <v>25189.399999999998</v>
      </c>
      <c r="O398" s="5">
        <v>1250</v>
      </c>
      <c r="P398" s="8">
        <v>6.0574299999999998E-2</v>
      </c>
      <c r="Q398" s="8">
        <v>1.34714</v>
      </c>
      <c r="R398" s="8">
        <v>8.6089700000000005E-2</v>
      </c>
      <c r="S398" s="8">
        <f>Tabelle1[[#This Row],[corr_x]]/1000</f>
        <v>7.9919200000000004</v>
      </c>
      <c r="T398" s="8">
        <f>Tabelle1[[#This Row],[corr_y]]/1000</f>
        <v>14.123799999999999</v>
      </c>
      <c r="U398" s="8">
        <f>Tabelle1[[#This Row],[corr_z]]/1000</f>
        <v>7.45</v>
      </c>
      <c r="V398" s="8">
        <f>Tabelle1[[#This Row],[corr_soma_x]]/1000</f>
        <v>7.6831100000000001</v>
      </c>
      <c r="W398" s="8">
        <f>Tabelle1[[#This Row],[corr_soma_y]]/1000</f>
        <v>25.189399999999999</v>
      </c>
      <c r="X398" s="8">
        <f>Tabelle1[[#This Row],[corr_soma_z]]/1000</f>
        <v>1.25</v>
      </c>
    </row>
    <row r="399" spans="1:24" x14ac:dyDescent="0.35">
      <c r="A399" s="7" t="s">
        <v>15</v>
      </c>
      <c r="B399" s="7" t="s">
        <v>18</v>
      </c>
      <c r="C399" s="6">
        <v>48</v>
      </c>
      <c r="D399" s="5">
        <v>7372.35</v>
      </c>
      <c r="E399" s="5">
        <v>14878.7</v>
      </c>
      <c r="F399" s="5">
        <v>6550</v>
      </c>
      <c r="G399" s="5">
        <v>7683.11</v>
      </c>
      <c r="H399" s="5">
        <v>25189.399999999998</v>
      </c>
      <c r="I399" s="5">
        <v>1250</v>
      </c>
      <c r="J399" s="5">
        <v>7372.35</v>
      </c>
      <c r="K399" s="5">
        <v>14878.7</v>
      </c>
      <c r="L399" s="5">
        <v>6550</v>
      </c>
      <c r="M399" s="5">
        <v>7683.11</v>
      </c>
      <c r="N399" s="5">
        <v>25189.399999999998</v>
      </c>
      <c r="O399" s="5">
        <v>1250</v>
      </c>
      <c r="P399" s="8">
        <v>2.46643E-2</v>
      </c>
      <c r="Q399" s="8">
        <v>0.51673999999999998</v>
      </c>
      <c r="R399" s="8">
        <v>2.51773E-2</v>
      </c>
      <c r="S399" s="8">
        <f>Tabelle1[[#This Row],[corr_x]]/1000</f>
        <v>7.37235</v>
      </c>
      <c r="T399" s="8">
        <f>Tabelle1[[#This Row],[corr_y]]/1000</f>
        <v>14.8787</v>
      </c>
      <c r="U399" s="8">
        <f>Tabelle1[[#This Row],[corr_z]]/1000</f>
        <v>6.55</v>
      </c>
      <c r="V399" s="8">
        <f>Tabelle1[[#This Row],[corr_soma_x]]/1000</f>
        <v>7.6831100000000001</v>
      </c>
      <c r="W399" s="8">
        <f>Tabelle1[[#This Row],[corr_soma_y]]/1000</f>
        <v>25.189399999999999</v>
      </c>
      <c r="X399" s="8">
        <f>Tabelle1[[#This Row],[corr_soma_z]]/1000</f>
        <v>1.25</v>
      </c>
    </row>
    <row r="400" spans="1:24" x14ac:dyDescent="0.35">
      <c r="A400" s="7" t="s">
        <v>15</v>
      </c>
      <c r="B400" s="7" t="s">
        <v>18</v>
      </c>
      <c r="C400" s="6">
        <v>49</v>
      </c>
      <c r="D400" s="5">
        <v>7403.96</v>
      </c>
      <c r="E400" s="5">
        <v>14960.8</v>
      </c>
      <c r="F400" s="5">
        <v>6324.9999999999991</v>
      </c>
      <c r="G400" s="5">
        <v>7683.11</v>
      </c>
      <c r="H400" s="5">
        <v>25189.399999999998</v>
      </c>
      <c r="I400" s="5">
        <v>1250</v>
      </c>
      <c r="J400" s="5">
        <v>7403.96</v>
      </c>
      <c r="K400" s="5">
        <v>14960.8</v>
      </c>
      <c r="L400" s="5">
        <v>6324.9999999999991</v>
      </c>
      <c r="M400" s="5">
        <v>7683.11</v>
      </c>
      <c r="N400" s="5">
        <v>25189.399999999998</v>
      </c>
      <c r="O400" s="5">
        <v>1250</v>
      </c>
      <c r="P400" s="8">
        <v>6.7936999999999997E-2</v>
      </c>
      <c r="Q400" s="8">
        <v>1.9040999999999999</v>
      </c>
      <c r="R400" s="8">
        <v>0.187779</v>
      </c>
      <c r="S400" s="8">
        <f>Tabelle1[[#This Row],[corr_x]]/1000</f>
        <v>7.4039599999999997</v>
      </c>
      <c r="T400" s="8">
        <f>Tabelle1[[#This Row],[corr_y]]/1000</f>
        <v>14.960799999999999</v>
      </c>
      <c r="U400" s="8">
        <f>Tabelle1[[#This Row],[corr_z]]/1000</f>
        <v>6.3249999999999993</v>
      </c>
      <c r="V400" s="8">
        <f>Tabelle1[[#This Row],[corr_soma_x]]/1000</f>
        <v>7.6831100000000001</v>
      </c>
      <c r="W400" s="8">
        <f>Tabelle1[[#This Row],[corr_soma_y]]/1000</f>
        <v>25.189399999999999</v>
      </c>
      <c r="X400" s="8">
        <f>Tabelle1[[#This Row],[corr_soma_z]]/1000</f>
        <v>1.25</v>
      </c>
    </row>
    <row r="401" spans="1:24" x14ac:dyDescent="0.35">
      <c r="A401" s="7" t="s">
        <v>15</v>
      </c>
      <c r="B401" s="7" t="s">
        <v>18</v>
      </c>
      <c r="C401" s="6">
        <v>50</v>
      </c>
      <c r="D401" s="5">
        <v>7695.83</v>
      </c>
      <c r="E401" s="5">
        <v>13609.7</v>
      </c>
      <c r="F401" s="5">
        <v>7750</v>
      </c>
      <c r="G401" s="5">
        <v>7683.11</v>
      </c>
      <c r="H401" s="5">
        <v>25189.399999999998</v>
      </c>
      <c r="I401" s="5">
        <v>1250</v>
      </c>
      <c r="J401" s="5">
        <v>7695.83</v>
      </c>
      <c r="K401" s="5">
        <v>13609.7</v>
      </c>
      <c r="L401" s="5">
        <v>7750</v>
      </c>
      <c r="M401" s="5">
        <v>7683.11</v>
      </c>
      <c r="N401" s="5">
        <v>25189.399999999998</v>
      </c>
      <c r="O401" s="5">
        <v>1250</v>
      </c>
      <c r="P401" s="8">
        <v>4.59298E-2</v>
      </c>
      <c r="Q401" s="8">
        <v>0.94228000000000001</v>
      </c>
      <c r="R401" s="8">
        <v>3.8758399999999998E-2</v>
      </c>
      <c r="S401" s="8">
        <f>Tabelle1[[#This Row],[corr_x]]/1000</f>
        <v>7.6958299999999999</v>
      </c>
      <c r="T401" s="8">
        <f>Tabelle1[[#This Row],[corr_y]]/1000</f>
        <v>13.6097</v>
      </c>
      <c r="U401" s="8">
        <f>Tabelle1[[#This Row],[corr_z]]/1000</f>
        <v>7.75</v>
      </c>
      <c r="V401" s="8">
        <f>Tabelle1[[#This Row],[corr_soma_x]]/1000</f>
        <v>7.6831100000000001</v>
      </c>
      <c r="W401" s="8">
        <f>Tabelle1[[#This Row],[corr_soma_y]]/1000</f>
        <v>25.189399999999999</v>
      </c>
      <c r="X401" s="8">
        <f>Tabelle1[[#This Row],[corr_soma_z]]/1000</f>
        <v>1.25</v>
      </c>
    </row>
    <row r="402" spans="1:24" x14ac:dyDescent="0.35">
      <c r="A402" s="7" t="s">
        <v>15</v>
      </c>
      <c r="B402" s="7" t="s">
        <v>18</v>
      </c>
      <c r="C402" s="6">
        <v>51</v>
      </c>
      <c r="D402" s="5">
        <v>8034.4099999999989</v>
      </c>
      <c r="E402" s="5">
        <v>13307.2</v>
      </c>
      <c r="F402" s="5">
        <v>7750</v>
      </c>
      <c r="G402" s="5">
        <v>7683.11</v>
      </c>
      <c r="H402" s="5">
        <v>25189.399999999998</v>
      </c>
      <c r="I402" s="5">
        <v>1250</v>
      </c>
      <c r="J402" s="5">
        <v>8034.4099999999989</v>
      </c>
      <c r="K402" s="5">
        <v>13307.2</v>
      </c>
      <c r="L402" s="5">
        <v>7750</v>
      </c>
      <c r="M402" s="5">
        <v>7683.11</v>
      </c>
      <c r="N402" s="5">
        <v>25189.399999999998</v>
      </c>
      <c r="O402" s="5">
        <v>1250</v>
      </c>
      <c r="P402" s="8">
        <v>5.7150199999999998E-2</v>
      </c>
      <c r="Q402" s="8">
        <v>0.63982000000000006</v>
      </c>
      <c r="R402" s="8">
        <v>4.1805599999999998E-2</v>
      </c>
      <c r="S402" s="8">
        <f>Tabelle1[[#This Row],[corr_x]]/1000</f>
        <v>8.0344099999999994</v>
      </c>
      <c r="T402" s="8">
        <f>Tabelle1[[#This Row],[corr_y]]/1000</f>
        <v>13.3072</v>
      </c>
      <c r="U402" s="8">
        <f>Tabelle1[[#This Row],[corr_z]]/1000</f>
        <v>7.75</v>
      </c>
      <c r="V402" s="8">
        <f>Tabelle1[[#This Row],[corr_soma_x]]/1000</f>
        <v>7.6831100000000001</v>
      </c>
      <c r="W402" s="8">
        <f>Tabelle1[[#This Row],[corr_soma_y]]/1000</f>
        <v>25.189399999999999</v>
      </c>
      <c r="X402" s="8">
        <f>Tabelle1[[#This Row],[corr_soma_z]]/1000</f>
        <v>1.25</v>
      </c>
    </row>
    <row r="403" spans="1:24" x14ac:dyDescent="0.35">
      <c r="A403" s="7" t="s">
        <v>15</v>
      </c>
      <c r="B403" s="7" t="s">
        <v>18</v>
      </c>
      <c r="C403" s="6">
        <v>52</v>
      </c>
      <c r="D403" s="5">
        <v>9945.77</v>
      </c>
      <c r="E403" s="5">
        <v>12069.599999999999</v>
      </c>
      <c r="F403" s="5">
        <v>7750</v>
      </c>
      <c r="G403" s="5">
        <v>7683.11</v>
      </c>
      <c r="H403" s="5">
        <v>25189.399999999998</v>
      </c>
      <c r="I403" s="5">
        <v>1250</v>
      </c>
      <c r="J403" s="5">
        <v>9945.77</v>
      </c>
      <c r="K403" s="5">
        <v>12069.599999999999</v>
      </c>
      <c r="L403" s="5">
        <v>7750</v>
      </c>
      <c r="M403" s="5">
        <v>7683.11</v>
      </c>
      <c r="N403" s="5">
        <v>25189.399999999998</v>
      </c>
      <c r="O403" s="5">
        <v>1250</v>
      </c>
      <c r="P403" s="8">
        <v>2.27324E-2</v>
      </c>
      <c r="Q403" s="8">
        <v>0.22500600000000001</v>
      </c>
      <c r="R403" s="8">
        <v>1.1881600000000001E-2</v>
      </c>
      <c r="S403" s="8">
        <f>Tabelle1[[#This Row],[corr_x]]/1000</f>
        <v>9.9457699999999996</v>
      </c>
      <c r="T403" s="8">
        <f>Tabelle1[[#This Row],[corr_y]]/1000</f>
        <v>12.069599999999998</v>
      </c>
      <c r="U403" s="8">
        <f>Tabelle1[[#This Row],[corr_z]]/1000</f>
        <v>7.75</v>
      </c>
      <c r="V403" s="8">
        <f>Tabelle1[[#This Row],[corr_soma_x]]/1000</f>
        <v>7.6831100000000001</v>
      </c>
      <c r="W403" s="8">
        <f>Tabelle1[[#This Row],[corr_soma_y]]/1000</f>
        <v>25.189399999999999</v>
      </c>
      <c r="X403" s="8">
        <f>Tabelle1[[#This Row],[corr_soma_z]]/1000</f>
        <v>1.25</v>
      </c>
    </row>
    <row r="404" spans="1:24" x14ac:dyDescent="0.35">
      <c r="A404" s="7" t="s">
        <v>15</v>
      </c>
      <c r="B404" s="7" t="s">
        <v>19</v>
      </c>
      <c r="C404" s="6">
        <v>15</v>
      </c>
      <c r="D404" s="5">
        <v>9478.02</v>
      </c>
      <c r="E404" s="5">
        <v>12544.6</v>
      </c>
      <c r="F404" s="5">
        <v>7850</v>
      </c>
      <c r="G404" s="5">
        <v>7683.11</v>
      </c>
      <c r="H404" s="5">
        <v>25189.399999999998</v>
      </c>
      <c r="I404" s="5">
        <v>1250</v>
      </c>
      <c r="J404" s="5">
        <v>9478.02</v>
      </c>
      <c r="K404" s="5">
        <v>12544.6</v>
      </c>
      <c r="L404" s="5">
        <v>7850</v>
      </c>
      <c r="M404" s="5">
        <v>7683.11</v>
      </c>
      <c r="N404" s="5">
        <v>25189.399999999998</v>
      </c>
      <c r="O404" s="5">
        <v>1250</v>
      </c>
      <c r="P404" s="8">
        <v>1.8722599999999999E-2</v>
      </c>
      <c r="Q404" s="8">
        <v>1.8232299999999999</v>
      </c>
      <c r="R404" s="8">
        <v>0.152202</v>
      </c>
      <c r="S404" s="8">
        <f>Tabelle1[[#This Row],[corr_x]]/1000</f>
        <v>9.4780200000000008</v>
      </c>
      <c r="T404" s="8">
        <f>Tabelle1[[#This Row],[corr_y]]/1000</f>
        <v>12.544600000000001</v>
      </c>
      <c r="U404" s="8">
        <f>Tabelle1[[#This Row],[corr_z]]/1000</f>
        <v>7.85</v>
      </c>
      <c r="V404" s="8">
        <f>Tabelle1[[#This Row],[corr_soma_x]]/1000</f>
        <v>7.6831100000000001</v>
      </c>
      <c r="W404" s="8">
        <f>Tabelle1[[#This Row],[corr_soma_y]]/1000</f>
        <v>25.189399999999999</v>
      </c>
      <c r="X404" s="8">
        <f>Tabelle1[[#This Row],[corr_soma_z]]/1000</f>
        <v>1.25</v>
      </c>
    </row>
    <row r="405" spans="1:24" x14ac:dyDescent="0.35">
      <c r="A405" s="7" t="s">
        <v>15</v>
      </c>
      <c r="B405" s="7" t="s">
        <v>18</v>
      </c>
      <c r="C405" s="6">
        <v>53</v>
      </c>
      <c r="D405" s="5">
        <v>8795.5</v>
      </c>
      <c r="E405" s="5">
        <v>13216.9</v>
      </c>
      <c r="F405" s="5">
        <v>7875</v>
      </c>
      <c r="G405" s="5">
        <v>7683.11</v>
      </c>
      <c r="H405" s="5">
        <v>25189.399999999998</v>
      </c>
      <c r="I405" s="5">
        <v>1250</v>
      </c>
      <c r="J405" s="5">
        <v>8795.5</v>
      </c>
      <c r="K405" s="5">
        <v>13216.9</v>
      </c>
      <c r="L405" s="5">
        <v>7875</v>
      </c>
      <c r="M405" s="5">
        <v>7683.11</v>
      </c>
      <c r="N405" s="5">
        <v>25189.399999999998</v>
      </c>
      <c r="O405" s="5">
        <v>1250</v>
      </c>
      <c r="P405" s="8">
        <v>3.3706699999999999E-2</v>
      </c>
      <c r="Q405" s="8">
        <v>0.74023000000000005</v>
      </c>
      <c r="R405" s="8">
        <v>3.05946E-2</v>
      </c>
      <c r="S405" s="8">
        <f>Tabelle1[[#This Row],[corr_x]]/1000</f>
        <v>8.7955000000000005</v>
      </c>
      <c r="T405" s="8">
        <f>Tabelle1[[#This Row],[corr_y]]/1000</f>
        <v>13.216899999999999</v>
      </c>
      <c r="U405" s="8">
        <f>Tabelle1[[#This Row],[corr_z]]/1000</f>
        <v>7.875</v>
      </c>
      <c r="V405" s="8">
        <f>Tabelle1[[#This Row],[corr_soma_x]]/1000</f>
        <v>7.6831100000000001</v>
      </c>
      <c r="W405" s="8">
        <f>Tabelle1[[#This Row],[corr_soma_y]]/1000</f>
        <v>25.189399999999999</v>
      </c>
      <c r="X405" s="8">
        <f>Tabelle1[[#This Row],[corr_soma_z]]/1000</f>
        <v>1.25</v>
      </c>
    </row>
    <row r="406" spans="1:24" x14ac:dyDescent="0.35">
      <c r="A406" s="7" t="s">
        <v>15</v>
      </c>
      <c r="B406" s="7" t="s">
        <v>18</v>
      </c>
      <c r="C406" s="6">
        <v>54</v>
      </c>
      <c r="D406" s="5">
        <v>8529.8700000000008</v>
      </c>
      <c r="E406" s="5">
        <v>13454.1</v>
      </c>
      <c r="F406" s="5">
        <v>7700</v>
      </c>
      <c r="G406" s="5">
        <v>7683.11</v>
      </c>
      <c r="H406" s="5">
        <v>25189.399999999998</v>
      </c>
      <c r="I406" s="5">
        <v>1250</v>
      </c>
      <c r="J406" s="5">
        <v>8529.8700000000008</v>
      </c>
      <c r="K406" s="5">
        <v>13454.1</v>
      </c>
      <c r="L406" s="5">
        <v>7700</v>
      </c>
      <c r="M406" s="5">
        <v>7683.11</v>
      </c>
      <c r="N406" s="5">
        <v>25189.399999999998</v>
      </c>
      <c r="O406" s="5">
        <v>1250</v>
      </c>
      <c r="P406" s="8">
        <v>2.9271200000000001E-2</v>
      </c>
      <c r="Q406" s="8">
        <v>0.89947999999999995</v>
      </c>
      <c r="R406" s="8">
        <v>7.43032E-2</v>
      </c>
      <c r="S406" s="8">
        <f>Tabelle1[[#This Row],[corr_x]]/1000</f>
        <v>8.5298700000000007</v>
      </c>
      <c r="T406" s="8">
        <f>Tabelle1[[#This Row],[corr_y]]/1000</f>
        <v>13.4541</v>
      </c>
      <c r="U406" s="8">
        <f>Tabelle1[[#This Row],[corr_z]]/1000</f>
        <v>7.7</v>
      </c>
      <c r="V406" s="8">
        <f>Tabelle1[[#This Row],[corr_soma_x]]/1000</f>
        <v>7.6831100000000001</v>
      </c>
      <c r="W406" s="8">
        <f>Tabelle1[[#This Row],[corr_soma_y]]/1000</f>
        <v>25.189399999999999</v>
      </c>
      <c r="X406" s="8">
        <f>Tabelle1[[#This Row],[corr_soma_z]]/1000</f>
        <v>1.25</v>
      </c>
    </row>
    <row r="407" spans="1:24" x14ac:dyDescent="0.35">
      <c r="A407" s="7" t="s">
        <v>15</v>
      </c>
      <c r="B407" s="7" t="s">
        <v>18</v>
      </c>
      <c r="C407" s="6">
        <v>55</v>
      </c>
      <c r="D407" s="5">
        <v>8368.5399999999991</v>
      </c>
      <c r="E407" s="5">
        <v>13578.2</v>
      </c>
      <c r="F407" s="5">
        <v>7900</v>
      </c>
      <c r="G407" s="5">
        <v>7683.11</v>
      </c>
      <c r="H407" s="5">
        <v>25189.399999999998</v>
      </c>
      <c r="I407" s="5">
        <v>1250</v>
      </c>
      <c r="J407" s="5">
        <v>8368.5399999999991</v>
      </c>
      <c r="K407" s="5">
        <v>13578.2</v>
      </c>
      <c r="L407" s="5">
        <v>7900</v>
      </c>
      <c r="M407" s="5">
        <v>7683.11</v>
      </c>
      <c r="N407" s="5">
        <v>25189.399999999998</v>
      </c>
      <c r="O407" s="5">
        <v>1250</v>
      </c>
      <c r="P407" s="8">
        <v>2.1999600000000001E-2</v>
      </c>
      <c r="Q407" s="8">
        <v>1.40333</v>
      </c>
      <c r="R407" s="8">
        <v>8.49998E-2</v>
      </c>
      <c r="S407" s="8">
        <f>Tabelle1[[#This Row],[corr_x]]/1000</f>
        <v>8.3685399999999994</v>
      </c>
      <c r="T407" s="8">
        <f>Tabelle1[[#This Row],[corr_y]]/1000</f>
        <v>13.578200000000001</v>
      </c>
      <c r="U407" s="8">
        <f>Tabelle1[[#This Row],[corr_z]]/1000</f>
        <v>7.9</v>
      </c>
      <c r="V407" s="8">
        <f>Tabelle1[[#This Row],[corr_soma_x]]/1000</f>
        <v>7.6831100000000001</v>
      </c>
      <c r="W407" s="8">
        <f>Tabelle1[[#This Row],[corr_soma_y]]/1000</f>
        <v>25.189399999999999</v>
      </c>
      <c r="X407" s="8">
        <f>Tabelle1[[#This Row],[corr_soma_z]]/1000</f>
        <v>1.25</v>
      </c>
    </row>
    <row r="408" spans="1:24" x14ac:dyDescent="0.35">
      <c r="A408" s="7" t="s">
        <v>15</v>
      </c>
      <c r="B408" s="7" t="s">
        <v>18</v>
      </c>
      <c r="C408" s="6">
        <v>56</v>
      </c>
      <c r="D408" s="5">
        <v>7143.0000000000009</v>
      </c>
      <c r="E408" s="5">
        <v>14747.050000000001</v>
      </c>
      <c r="F408" s="5">
        <v>7725</v>
      </c>
      <c r="G408" s="5">
        <v>7683.11</v>
      </c>
      <c r="H408" s="5">
        <v>25189.399999999998</v>
      </c>
      <c r="I408" s="5">
        <v>1250</v>
      </c>
      <c r="J408" s="5">
        <v>7143.0000000000009</v>
      </c>
      <c r="K408" s="5">
        <v>14747.050000000001</v>
      </c>
      <c r="L408" s="5">
        <v>7725</v>
      </c>
      <c r="M408" s="5">
        <v>7683.11</v>
      </c>
      <c r="N408" s="5">
        <v>25189.399999999998</v>
      </c>
      <c r="O408" s="5">
        <v>1250</v>
      </c>
      <c r="P408" s="8">
        <v>2.95085E-2</v>
      </c>
      <c r="Q408" s="8">
        <v>0.58225000000000005</v>
      </c>
      <c r="R408" s="8">
        <v>2.31729E-2</v>
      </c>
      <c r="S408" s="8">
        <f>Tabelle1[[#This Row],[corr_x]]/1000</f>
        <v>7.1430000000000007</v>
      </c>
      <c r="T408" s="8">
        <f>Tabelle1[[#This Row],[corr_y]]/1000</f>
        <v>14.747050000000002</v>
      </c>
      <c r="U408" s="8">
        <f>Tabelle1[[#This Row],[corr_z]]/1000</f>
        <v>7.7249999999999996</v>
      </c>
      <c r="V408" s="8">
        <f>Tabelle1[[#This Row],[corr_soma_x]]/1000</f>
        <v>7.6831100000000001</v>
      </c>
      <c r="W408" s="8">
        <f>Tabelle1[[#This Row],[corr_soma_y]]/1000</f>
        <v>25.189399999999999</v>
      </c>
      <c r="X408" s="8">
        <f>Tabelle1[[#This Row],[corr_soma_z]]/1000</f>
        <v>1.25</v>
      </c>
    </row>
    <row r="409" spans="1:24" x14ac:dyDescent="0.35">
      <c r="A409" s="7" t="s">
        <v>15</v>
      </c>
      <c r="B409" s="7" t="s">
        <v>18</v>
      </c>
      <c r="C409" s="6">
        <v>57</v>
      </c>
      <c r="D409" s="5">
        <v>7852.1049999999996</v>
      </c>
      <c r="E409" s="5">
        <v>13564.4</v>
      </c>
      <c r="F409" s="5">
        <v>7425.0000000000009</v>
      </c>
      <c r="G409" s="5">
        <v>7683.11</v>
      </c>
      <c r="H409" s="5">
        <v>25189.399999999998</v>
      </c>
      <c r="I409" s="5">
        <v>1250</v>
      </c>
      <c r="J409" s="5">
        <v>7852.1049999999996</v>
      </c>
      <c r="K409" s="5">
        <v>13564.4</v>
      </c>
      <c r="L409" s="5">
        <v>7425.0000000000009</v>
      </c>
      <c r="M409" s="5">
        <v>7683.11</v>
      </c>
      <c r="N409" s="5">
        <v>25189.399999999998</v>
      </c>
      <c r="O409" s="5">
        <v>1250</v>
      </c>
      <c r="P409" s="8">
        <v>3.6491599999999999E-2</v>
      </c>
      <c r="Q409" s="8">
        <v>0.72953999999999997</v>
      </c>
      <c r="R409" s="8">
        <v>3.2649600000000001E-2</v>
      </c>
      <c r="S409" s="8">
        <f>Tabelle1[[#This Row],[corr_x]]/1000</f>
        <v>7.8521049999999999</v>
      </c>
      <c r="T409" s="8">
        <f>Tabelle1[[#This Row],[corr_y]]/1000</f>
        <v>13.564399999999999</v>
      </c>
      <c r="U409" s="8">
        <f>Tabelle1[[#This Row],[corr_z]]/1000</f>
        <v>7.4250000000000007</v>
      </c>
      <c r="V409" s="8">
        <f>Tabelle1[[#This Row],[corr_soma_x]]/1000</f>
        <v>7.6831100000000001</v>
      </c>
      <c r="W409" s="8">
        <f>Tabelle1[[#This Row],[corr_soma_y]]/1000</f>
        <v>25.189399999999999</v>
      </c>
      <c r="X409" s="8">
        <f>Tabelle1[[#This Row],[corr_soma_z]]/1000</f>
        <v>1.25</v>
      </c>
    </row>
    <row r="410" spans="1:24" x14ac:dyDescent="0.35">
      <c r="A410" s="7" t="s">
        <v>15</v>
      </c>
      <c r="B410" s="7" t="s">
        <v>19</v>
      </c>
      <c r="C410" s="6">
        <v>16</v>
      </c>
      <c r="D410" s="5">
        <v>7717.76</v>
      </c>
      <c r="E410" s="5">
        <v>14499.4</v>
      </c>
      <c r="F410" s="5">
        <v>7750</v>
      </c>
      <c r="G410" s="5">
        <v>7683.11</v>
      </c>
      <c r="H410" s="5">
        <v>25189.399999999998</v>
      </c>
      <c r="I410" s="5">
        <v>1250</v>
      </c>
      <c r="J410" s="5">
        <v>7717.76</v>
      </c>
      <c r="K410" s="5">
        <v>14499.4</v>
      </c>
      <c r="L410" s="5">
        <v>7750</v>
      </c>
      <c r="M410" s="5">
        <v>7683.11</v>
      </c>
      <c r="N410" s="5">
        <v>25189.399999999998</v>
      </c>
      <c r="O410" s="5">
        <v>1250</v>
      </c>
      <c r="P410" s="8">
        <v>6.4946100000000007E-2</v>
      </c>
      <c r="Q410" s="8">
        <v>1.80829</v>
      </c>
      <c r="R410" s="8">
        <v>0.167657</v>
      </c>
      <c r="S410" s="8">
        <f>Tabelle1[[#This Row],[corr_x]]/1000</f>
        <v>7.7177600000000002</v>
      </c>
      <c r="T410" s="8">
        <f>Tabelle1[[#This Row],[corr_y]]/1000</f>
        <v>14.4994</v>
      </c>
      <c r="U410" s="8">
        <f>Tabelle1[[#This Row],[corr_z]]/1000</f>
        <v>7.75</v>
      </c>
      <c r="V410" s="8">
        <f>Tabelle1[[#This Row],[corr_soma_x]]/1000</f>
        <v>7.6831100000000001</v>
      </c>
      <c r="W410" s="8">
        <f>Tabelle1[[#This Row],[corr_soma_y]]/1000</f>
        <v>25.189399999999999</v>
      </c>
      <c r="X410" s="8">
        <f>Tabelle1[[#This Row],[corr_soma_z]]/1000</f>
        <v>1.25</v>
      </c>
    </row>
    <row r="411" spans="1:24" x14ac:dyDescent="0.35">
      <c r="A411" s="7" t="s">
        <v>15</v>
      </c>
      <c r="B411" s="7" t="s">
        <v>18</v>
      </c>
      <c r="C411" s="6">
        <v>58</v>
      </c>
      <c r="D411" s="5">
        <v>8052.5</v>
      </c>
      <c r="E411" s="5">
        <v>13914.5</v>
      </c>
      <c r="F411" s="5">
        <v>7950</v>
      </c>
      <c r="G411" s="5">
        <v>7683.11</v>
      </c>
      <c r="H411" s="5">
        <v>25189.399999999998</v>
      </c>
      <c r="I411" s="5">
        <v>1250</v>
      </c>
      <c r="J411" s="5">
        <v>8052.5</v>
      </c>
      <c r="K411" s="5">
        <v>13914.5</v>
      </c>
      <c r="L411" s="5">
        <v>7950</v>
      </c>
      <c r="M411" s="5">
        <v>7683.11</v>
      </c>
      <c r="N411" s="5">
        <v>25189.399999999998</v>
      </c>
      <c r="O411" s="5">
        <v>1250</v>
      </c>
      <c r="P411" s="8">
        <v>8.0197000000000004E-2</v>
      </c>
      <c r="Q411" s="8">
        <v>2.4698000000000002</v>
      </c>
      <c r="R411" s="8">
        <v>0.150951</v>
      </c>
      <c r="S411" s="8">
        <f>Tabelle1[[#This Row],[corr_x]]/1000</f>
        <v>8.0525000000000002</v>
      </c>
      <c r="T411" s="8">
        <f>Tabelle1[[#This Row],[corr_y]]/1000</f>
        <v>13.9145</v>
      </c>
      <c r="U411" s="8">
        <f>Tabelle1[[#This Row],[corr_z]]/1000</f>
        <v>7.95</v>
      </c>
      <c r="V411" s="8">
        <f>Tabelle1[[#This Row],[corr_soma_x]]/1000</f>
        <v>7.6831100000000001</v>
      </c>
      <c r="W411" s="8">
        <f>Tabelle1[[#This Row],[corr_soma_y]]/1000</f>
        <v>25.189399999999999</v>
      </c>
      <c r="X411" s="8">
        <f>Tabelle1[[#This Row],[corr_soma_z]]/1000</f>
        <v>1.25</v>
      </c>
    </row>
    <row r="412" spans="1:24" x14ac:dyDescent="0.35">
      <c r="A412" s="7" t="s">
        <v>15</v>
      </c>
      <c r="B412" s="7" t="s">
        <v>18</v>
      </c>
      <c r="C412" s="6">
        <v>59</v>
      </c>
      <c r="D412" s="5">
        <v>9280.9000000000015</v>
      </c>
      <c r="E412" s="5">
        <v>11919.7</v>
      </c>
      <c r="F412" s="5">
        <v>7800</v>
      </c>
      <c r="G412" s="5">
        <v>7683.11</v>
      </c>
      <c r="H412" s="5">
        <v>25189.399999999998</v>
      </c>
      <c r="I412" s="5">
        <v>1250</v>
      </c>
      <c r="J412" s="5">
        <v>9280.9000000000015</v>
      </c>
      <c r="K412" s="5">
        <v>11919.7</v>
      </c>
      <c r="L412" s="5">
        <v>7800</v>
      </c>
      <c r="M412" s="5">
        <v>7683.11</v>
      </c>
      <c r="N412" s="5">
        <v>25189.399999999998</v>
      </c>
      <c r="O412" s="5">
        <v>1250</v>
      </c>
      <c r="P412" s="8">
        <v>8.6594000000000004E-2</v>
      </c>
      <c r="Q412" s="8">
        <v>0.64761999999999997</v>
      </c>
      <c r="R412" s="8">
        <v>3.6601099999999998E-2</v>
      </c>
      <c r="S412" s="8">
        <f>Tabelle1[[#This Row],[corr_x]]/1000</f>
        <v>9.2809000000000008</v>
      </c>
      <c r="T412" s="8">
        <f>Tabelle1[[#This Row],[corr_y]]/1000</f>
        <v>11.919700000000001</v>
      </c>
      <c r="U412" s="8">
        <f>Tabelle1[[#This Row],[corr_z]]/1000</f>
        <v>7.8</v>
      </c>
      <c r="V412" s="8">
        <f>Tabelle1[[#This Row],[corr_soma_x]]/1000</f>
        <v>7.6831100000000001</v>
      </c>
      <c r="W412" s="8">
        <f>Tabelle1[[#This Row],[corr_soma_y]]/1000</f>
        <v>25.189399999999999</v>
      </c>
      <c r="X412" s="8">
        <f>Tabelle1[[#This Row],[corr_soma_z]]/1000</f>
        <v>1.25</v>
      </c>
    </row>
    <row r="413" spans="1:24" x14ac:dyDescent="0.35">
      <c r="A413" s="7" t="s">
        <v>15</v>
      </c>
      <c r="B413" s="7" t="s">
        <v>18</v>
      </c>
      <c r="C413" s="6">
        <v>60</v>
      </c>
      <c r="D413" s="5">
        <v>10531.4</v>
      </c>
      <c r="E413" s="5">
        <v>11343.6</v>
      </c>
      <c r="F413" s="5">
        <v>7850</v>
      </c>
      <c r="G413" s="5">
        <v>7683.11</v>
      </c>
      <c r="H413" s="5">
        <v>25189.399999999998</v>
      </c>
      <c r="I413" s="5">
        <v>1250</v>
      </c>
      <c r="J413" s="5">
        <v>10531.4</v>
      </c>
      <c r="K413" s="5">
        <v>11343.6</v>
      </c>
      <c r="L413" s="5">
        <v>7850</v>
      </c>
      <c r="M413" s="5">
        <v>7683.11</v>
      </c>
      <c r="N413" s="5">
        <v>25189.399999999998</v>
      </c>
      <c r="O413" s="5">
        <v>1250</v>
      </c>
      <c r="P413" s="8">
        <v>0.111591</v>
      </c>
      <c r="Q413" s="8">
        <v>1.1846300000000001</v>
      </c>
      <c r="R413" s="8">
        <v>7.7295100000000005E-2</v>
      </c>
      <c r="S413" s="8">
        <f>Tabelle1[[#This Row],[corr_x]]/1000</f>
        <v>10.5314</v>
      </c>
      <c r="T413" s="8">
        <f>Tabelle1[[#This Row],[corr_y]]/1000</f>
        <v>11.3436</v>
      </c>
      <c r="U413" s="8">
        <f>Tabelle1[[#This Row],[corr_z]]/1000</f>
        <v>7.85</v>
      </c>
      <c r="V413" s="8">
        <f>Tabelle1[[#This Row],[corr_soma_x]]/1000</f>
        <v>7.6831100000000001</v>
      </c>
      <c r="W413" s="8">
        <f>Tabelle1[[#This Row],[corr_soma_y]]/1000</f>
        <v>25.189399999999999</v>
      </c>
      <c r="X413" s="8">
        <f>Tabelle1[[#This Row],[corr_soma_z]]/1000</f>
        <v>1.25</v>
      </c>
    </row>
    <row r="414" spans="1:24" x14ac:dyDescent="0.35">
      <c r="A414" s="7" t="s">
        <v>15</v>
      </c>
      <c r="B414" s="7" t="s">
        <v>18</v>
      </c>
      <c r="C414" s="6">
        <v>61</v>
      </c>
      <c r="D414" s="5">
        <v>10761.300000000001</v>
      </c>
      <c r="E414" s="5">
        <v>11132.5</v>
      </c>
      <c r="F414" s="5">
        <v>7850</v>
      </c>
      <c r="G414" s="5">
        <v>7683.11</v>
      </c>
      <c r="H414" s="5">
        <v>25189.399999999998</v>
      </c>
      <c r="I414" s="5">
        <v>1250</v>
      </c>
      <c r="J414" s="5">
        <v>10761.300000000001</v>
      </c>
      <c r="K414" s="5">
        <v>11132.5</v>
      </c>
      <c r="L414" s="5">
        <v>7850</v>
      </c>
      <c r="M414" s="5">
        <v>7683.11</v>
      </c>
      <c r="N414" s="5">
        <v>25189.399999999998</v>
      </c>
      <c r="O414" s="5">
        <v>1250</v>
      </c>
      <c r="P414" s="8">
        <v>4.0315999999999998E-2</v>
      </c>
      <c r="Q414" s="8">
        <v>1.27915</v>
      </c>
      <c r="R414" s="8">
        <v>0.115454</v>
      </c>
      <c r="S414" s="8">
        <f>Tabelle1[[#This Row],[corr_x]]/1000</f>
        <v>10.7613</v>
      </c>
      <c r="T414" s="8">
        <f>Tabelle1[[#This Row],[corr_y]]/1000</f>
        <v>11.1325</v>
      </c>
      <c r="U414" s="8">
        <f>Tabelle1[[#This Row],[corr_z]]/1000</f>
        <v>7.85</v>
      </c>
      <c r="V414" s="8">
        <f>Tabelle1[[#This Row],[corr_soma_x]]/1000</f>
        <v>7.6831100000000001</v>
      </c>
      <c r="W414" s="8">
        <f>Tabelle1[[#This Row],[corr_soma_y]]/1000</f>
        <v>25.189399999999999</v>
      </c>
      <c r="X414" s="8">
        <f>Tabelle1[[#This Row],[corr_soma_z]]/1000</f>
        <v>1.25</v>
      </c>
    </row>
    <row r="415" spans="1:24" x14ac:dyDescent="0.35">
      <c r="A415" s="7" t="s">
        <v>15</v>
      </c>
      <c r="B415" s="7" t="s">
        <v>18</v>
      </c>
      <c r="C415" s="6">
        <v>62</v>
      </c>
      <c r="D415" s="5">
        <v>8527.7850000000017</v>
      </c>
      <c r="E415" s="5">
        <v>12815.6</v>
      </c>
      <c r="F415" s="5">
        <v>7824.9999999999991</v>
      </c>
      <c r="G415" s="5">
        <v>7683.11</v>
      </c>
      <c r="H415" s="5">
        <v>25189.399999999998</v>
      </c>
      <c r="I415" s="5">
        <v>1250</v>
      </c>
      <c r="J415" s="5">
        <v>8527.7850000000017</v>
      </c>
      <c r="K415" s="5">
        <v>12815.6</v>
      </c>
      <c r="L415" s="5">
        <v>7824.9999999999991</v>
      </c>
      <c r="M415" s="5">
        <v>7683.11</v>
      </c>
      <c r="N415" s="5">
        <v>25189.399999999998</v>
      </c>
      <c r="O415" s="5">
        <v>1250</v>
      </c>
      <c r="P415" s="8">
        <v>7.4444200000000002E-2</v>
      </c>
      <c r="Q415" s="8">
        <v>1.3273600000000001</v>
      </c>
      <c r="R415" s="8">
        <v>7.3509400000000003E-2</v>
      </c>
      <c r="S415" s="8">
        <f>Tabelle1[[#This Row],[corr_x]]/1000</f>
        <v>8.5277850000000015</v>
      </c>
      <c r="T415" s="8">
        <f>Tabelle1[[#This Row],[corr_y]]/1000</f>
        <v>12.8156</v>
      </c>
      <c r="U415" s="8">
        <f>Tabelle1[[#This Row],[corr_z]]/1000</f>
        <v>7.8249999999999993</v>
      </c>
      <c r="V415" s="8">
        <f>Tabelle1[[#This Row],[corr_soma_x]]/1000</f>
        <v>7.6831100000000001</v>
      </c>
      <c r="W415" s="8">
        <f>Tabelle1[[#This Row],[corr_soma_y]]/1000</f>
        <v>25.189399999999999</v>
      </c>
      <c r="X415" s="8">
        <f>Tabelle1[[#This Row],[corr_soma_z]]/1000</f>
        <v>1.25</v>
      </c>
    </row>
    <row r="416" spans="1:24" x14ac:dyDescent="0.35">
      <c r="A416" s="7" t="s">
        <v>15</v>
      </c>
      <c r="B416" s="7" t="s">
        <v>18</v>
      </c>
      <c r="C416" s="6">
        <v>63</v>
      </c>
      <c r="D416" s="5">
        <v>8877</v>
      </c>
      <c r="E416" s="5">
        <v>12566.599999999999</v>
      </c>
      <c r="F416" s="5">
        <v>8000</v>
      </c>
      <c r="G416" s="5">
        <v>7683.11</v>
      </c>
      <c r="H416" s="5">
        <v>25189.399999999998</v>
      </c>
      <c r="I416" s="5">
        <v>1250</v>
      </c>
      <c r="J416" s="5">
        <v>8877</v>
      </c>
      <c r="K416" s="5">
        <v>12566.599999999999</v>
      </c>
      <c r="L416" s="5">
        <v>8000</v>
      </c>
      <c r="M416" s="5">
        <v>7683.11</v>
      </c>
      <c r="N416" s="5">
        <v>25189.399999999998</v>
      </c>
      <c r="O416" s="5">
        <v>1250</v>
      </c>
      <c r="P416" s="8">
        <v>2.46865E-2</v>
      </c>
      <c r="Q416" s="8">
        <v>1.3178000000000001</v>
      </c>
      <c r="R416" s="8">
        <v>0.10685600000000001</v>
      </c>
      <c r="S416" s="8">
        <f>Tabelle1[[#This Row],[corr_x]]/1000</f>
        <v>8.8770000000000007</v>
      </c>
      <c r="T416" s="8">
        <f>Tabelle1[[#This Row],[corr_y]]/1000</f>
        <v>12.566599999999999</v>
      </c>
      <c r="U416" s="8">
        <f>Tabelle1[[#This Row],[corr_z]]/1000</f>
        <v>8</v>
      </c>
      <c r="V416" s="8">
        <f>Tabelle1[[#This Row],[corr_soma_x]]/1000</f>
        <v>7.6831100000000001</v>
      </c>
      <c r="W416" s="8">
        <f>Tabelle1[[#This Row],[corr_soma_y]]/1000</f>
        <v>25.189399999999999</v>
      </c>
      <c r="X416" s="8">
        <f>Tabelle1[[#This Row],[corr_soma_z]]/1000</f>
        <v>1.25</v>
      </c>
    </row>
    <row r="417" spans="1:24" x14ac:dyDescent="0.35">
      <c r="A417" s="7" t="s">
        <v>15</v>
      </c>
      <c r="B417" s="7" t="s">
        <v>18</v>
      </c>
      <c r="C417" s="6">
        <v>64</v>
      </c>
      <c r="D417" s="5">
        <v>9636.8466666666664</v>
      </c>
      <c r="E417" s="5">
        <v>11631.166666666668</v>
      </c>
      <c r="F417" s="5">
        <v>7966.6666666666661</v>
      </c>
      <c r="G417" s="5">
        <v>7683.11</v>
      </c>
      <c r="H417" s="5">
        <v>25189.399999999998</v>
      </c>
      <c r="I417" s="5">
        <v>1250</v>
      </c>
      <c r="J417" s="5">
        <v>9636.8466666666664</v>
      </c>
      <c r="K417" s="5">
        <v>11631.166666666668</v>
      </c>
      <c r="L417" s="5">
        <v>7966.6666666666661</v>
      </c>
      <c r="M417" s="5">
        <v>7683.11</v>
      </c>
      <c r="N417" s="5">
        <v>25189.399999999998</v>
      </c>
      <c r="O417" s="5">
        <v>1250</v>
      </c>
      <c r="P417" s="8">
        <v>0.109975</v>
      </c>
      <c r="Q417" s="8">
        <v>1.6020300000000001</v>
      </c>
      <c r="R417" s="8">
        <v>9.6625000000000003E-2</v>
      </c>
      <c r="S417" s="8">
        <f>Tabelle1[[#This Row],[corr_x]]/1000</f>
        <v>9.636846666666667</v>
      </c>
      <c r="T417" s="8">
        <f>Tabelle1[[#This Row],[corr_y]]/1000</f>
        <v>11.631166666666667</v>
      </c>
      <c r="U417" s="8">
        <f>Tabelle1[[#This Row],[corr_z]]/1000</f>
        <v>7.9666666666666659</v>
      </c>
      <c r="V417" s="8">
        <f>Tabelle1[[#This Row],[corr_soma_x]]/1000</f>
        <v>7.6831100000000001</v>
      </c>
      <c r="W417" s="8">
        <f>Tabelle1[[#This Row],[corr_soma_y]]/1000</f>
        <v>25.189399999999999</v>
      </c>
      <c r="X417" s="8">
        <f>Tabelle1[[#This Row],[corr_soma_z]]/1000</f>
        <v>1.25</v>
      </c>
    </row>
    <row r="418" spans="1:24" x14ac:dyDescent="0.35">
      <c r="A418" s="7" t="s">
        <v>15</v>
      </c>
      <c r="B418" s="7" t="s">
        <v>18</v>
      </c>
      <c r="C418" s="6">
        <v>65</v>
      </c>
      <c r="D418" s="5">
        <v>10143.75</v>
      </c>
      <c r="E418" s="5">
        <v>11663.05</v>
      </c>
      <c r="F418" s="5">
        <v>7975</v>
      </c>
      <c r="G418" s="5">
        <v>7683.11</v>
      </c>
      <c r="H418" s="5">
        <v>25189.399999999998</v>
      </c>
      <c r="I418" s="5">
        <v>1250</v>
      </c>
      <c r="J418" s="5">
        <v>10143.75</v>
      </c>
      <c r="K418" s="5">
        <v>11663.05</v>
      </c>
      <c r="L418" s="5">
        <v>7975</v>
      </c>
      <c r="M418" s="5">
        <v>7683.11</v>
      </c>
      <c r="N418" s="5">
        <v>25189.399999999998</v>
      </c>
      <c r="O418" s="5">
        <v>1250</v>
      </c>
      <c r="P418" s="8">
        <v>3.9852800000000001E-2</v>
      </c>
      <c r="Q418" s="8">
        <v>0.75329999999999997</v>
      </c>
      <c r="R418" s="8">
        <v>3.47733E-2</v>
      </c>
      <c r="S418" s="8">
        <f>Tabelle1[[#This Row],[corr_x]]/1000</f>
        <v>10.143750000000001</v>
      </c>
      <c r="T418" s="8">
        <f>Tabelle1[[#This Row],[corr_y]]/1000</f>
        <v>11.66305</v>
      </c>
      <c r="U418" s="8">
        <f>Tabelle1[[#This Row],[corr_z]]/1000</f>
        <v>7.9749999999999996</v>
      </c>
      <c r="V418" s="8">
        <f>Tabelle1[[#This Row],[corr_soma_x]]/1000</f>
        <v>7.6831100000000001</v>
      </c>
      <c r="W418" s="8">
        <f>Tabelle1[[#This Row],[corr_soma_y]]/1000</f>
        <v>25.189399999999999</v>
      </c>
      <c r="X418" s="8">
        <f>Tabelle1[[#This Row],[corr_soma_z]]/1000</f>
        <v>1.25</v>
      </c>
    </row>
    <row r="419" spans="1:24" x14ac:dyDescent="0.35">
      <c r="A419" s="7" t="s">
        <v>15</v>
      </c>
      <c r="B419" s="7" t="s">
        <v>18</v>
      </c>
      <c r="C419" s="6">
        <v>66</v>
      </c>
      <c r="D419" s="5">
        <v>9051.89</v>
      </c>
      <c r="E419" s="5">
        <v>12308.8</v>
      </c>
      <c r="F419" s="5">
        <v>7875</v>
      </c>
      <c r="G419" s="5">
        <v>7683.11</v>
      </c>
      <c r="H419" s="5">
        <v>25189.399999999998</v>
      </c>
      <c r="I419" s="5">
        <v>1250</v>
      </c>
      <c r="J419" s="5">
        <v>9051.89</v>
      </c>
      <c r="K419" s="5">
        <v>12308.8</v>
      </c>
      <c r="L419" s="5">
        <v>7875</v>
      </c>
      <c r="M419" s="5">
        <v>7683.11</v>
      </c>
      <c r="N419" s="5">
        <v>25189.399999999998</v>
      </c>
      <c r="O419" s="5">
        <v>1250</v>
      </c>
      <c r="P419" s="8">
        <v>1.8665000000000001E-2</v>
      </c>
      <c r="Q419" s="8">
        <v>0.58775999999999995</v>
      </c>
      <c r="R419" s="8">
        <v>2.4975399999999998E-2</v>
      </c>
      <c r="S419" s="8">
        <f>Tabelle1[[#This Row],[corr_x]]/1000</f>
        <v>9.0518900000000002</v>
      </c>
      <c r="T419" s="8">
        <f>Tabelle1[[#This Row],[corr_y]]/1000</f>
        <v>12.3088</v>
      </c>
      <c r="U419" s="8">
        <f>Tabelle1[[#This Row],[corr_z]]/1000</f>
        <v>7.875</v>
      </c>
      <c r="V419" s="8">
        <f>Tabelle1[[#This Row],[corr_soma_x]]/1000</f>
        <v>7.6831100000000001</v>
      </c>
      <c r="W419" s="8">
        <f>Tabelle1[[#This Row],[corr_soma_y]]/1000</f>
        <v>25.189399999999999</v>
      </c>
      <c r="X419" s="8">
        <f>Tabelle1[[#This Row],[corr_soma_z]]/1000</f>
        <v>1.25</v>
      </c>
    </row>
    <row r="420" spans="1:24" x14ac:dyDescent="0.35">
      <c r="A420" s="7" t="s">
        <v>15</v>
      </c>
      <c r="B420" s="7" t="s">
        <v>19</v>
      </c>
      <c r="C420" s="6">
        <v>17</v>
      </c>
      <c r="D420" s="5">
        <v>8832.284999999998</v>
      </c>
      <c r="E420" s="5">
        <v>12978.7</v>
      </c>
      <c r="F420" s="5">
        <v>8125</v>
      </c>
      <c r="G420" s="5">
        <v>7683.11</v>
      </c>
      <c r="H420" s="5">
        <v>25189.399999999998</v>
      </c>
      <c r="I420" s="5">
        <v>1250</v>
      </c>
      <c r="J420" s="5">
        <v>8832.284999999998</v>
      </c>
      <c r="K420" s="5">
        <v>12978.7</v>
      </c>
      <c r="L420" s="5">
        <v>8125</v>
      </c>
      <c r="M420" s="5">
        <v>7683.11</v>
      </c>
      <c r="N420" s="5">
        <v>25189.399999999998</v>
      </c>
      <c r="O420" s="5">
        <v>1250</v>
      </c>
      <c r="P420" s="8">
        <v>2.3118699999999999E-2</v>
      </c>
      <c r="Q420" s="8">
        <v>1.1438699999999999</v>
      </c>
      <c r="R420" s="8">
        <v>7.8707700000000005E-2</v>
      </c>
      <c r="S420" s="8">
        <f>Tabelle1[[#This Row],[corr_x]]/1000</f>
        <v>8.8322849999999988</v>
      </c>
      <c r="T420" s="8">
        <f>Tabelle1[[#This Row],[corr_y]]/1000</f>
        <v>12.9787</v>
      </c>
      <c r="U420" s="8">
        <f>Tabelle1[[#This Row],[corr_z]]/1000</f>
        <v>8.125</v>
      </c>
      <c r="V420" s="8">
        <f>Tabelle1[[#This Row],[corr_soma_x]]/1000</f>
        <v>7.6831100000000001</v>
      </c>
      <c r="W420" s="8">
        <f>Tabelle1[[#This Row],[corr_soma_y]]/1000</f>
        <v>25.189399999999999</v>
      </c>
      <c r="X420" s="8">
        <f>Tabelle1[[#This Row],[corr_soma_z]]/1000</f>
        <v>1.25</v>
      </c>
    </row>
    <row r="421" spans="1:24" x14ac:dyDescent="0.35">
      <c r="A421" s="7" t="s">
        <v>15</v>
      </c>
      <c r="B421" s="7" t="s">
        <v>18</v>
      </c>
      <c r="C421" s="6">
        <v>67</v>
      </c>
      <c r="D421" s="5">
        <v>9779.9650000000001</v>
      </c>
      <c r="E421" s="5">
        <v>12045.349999999999</v>
      </c>
      <c r="F421" s="5">
        <v>8125</v>
      </c>
      <c r="G421" s="5">
        <v>7683.11</v>
      </c>
      <c r="H421" s="5">
        <v>25189.399999999998</v>
      </c>
      <c r="I421" s="5">
        <v>1250</v>
      </c>
      <c r="J421" s="5">
        <v>9779.9650000000001</v>
      </c>
      <c r="K421" s="5">
        <v>12045.349999999999</v>
      </c>
      <c r="L421" s="5">
        <v>8125</v>
      </c>
      <c r="M421" s="5">
        <v>7683.11</v>
      </c>
      <c r="N421" s="5">
        <v>25189.399999999998</v>
      </c>
      <c r="O421" s="5">
        <v>1250</v>
      </c>
      <c r="P421" s="8">
        <v>5.9282899999999999E-2</v>
      </c>
      <c r="Q421" s="8">
        <v>0.90024000000000004</v>
      </c>
      <c r="R421" s="8">
        <v>7.1284100000000003E-2</v>
      </c>
      <c r="S421" s="8">
        <f>Tabelle1[[#This Row],[corr_x]]/1000</f>
        <v>9.7799650000000007</v>
      </c>
      <c r="T421" s="8">
        <f>Tabelle1[[#This Row],[corr_y]]/1000</f>
        <v>12.045349999999999</v>
      </c>
      <c r="U421" s="8">
        <f>Tabelle1[[#This Row],[corr_z]]/1000</f>
        <v>8.125</v>
      </c>
      <c r="V421" s="8">
        <f>Tabelle1[[#This Row],[corr_soma_x]]/1000</f>
        <v>7.6831100000000001</v>
      </c>
      <c r="W421" s="8">
        <f>Tabelle1[[#This Row],[corr_soma_y]]/1000</f>
        <v>25.189399999999999</v>
      </c>
      <c r="X421" s="8">
        <f>Tabelle1[[#This Row],[corr_soma_z]]/1000</f>
        <v>1.25</v>
      </c>
    </row>
    <row r="422" spans="1:24" x14ac:dyDescent="0.35">
      <c r="A422" s="7" t="s">
        <v>15</v>
      </c>
      <c r="B422" s="7" t="s">
        <v>18</v>
      </c>
      <c r="C422" s="6">
        <v>68</v>
      </c>
      <c r="D422" s="5">
        <v>7188.21</v>
      </c>
      <c r="E422" s="5">
        <v>14080</v>
      </c>
      <c r="F422" s="5">
        <v>8200</v>
      </c>
      <c r="G422" s="5">
        <v>7683.11</v>
      </c>
      <c r="H422" s="5">
        <v>25189.399999999998</v>
      </c>
      <c r="I422" s="5">
        <v>1250</v>
      </c>
      <c r="J422" s="5">
        <v>7188.21</v>
      </c>
      <c r="K422" s="5">
        <v>14080</v>
      </c>
      <c r="L422" s="5">
        <v>8200</v>
      </c>
      <c r="M422" s="5">
        <v>7683.11</v>
      </c>
      <c r="N422" s="5">
        <v>25189.399999999998</v>
      </c>
      <c r="O422" s="5">
        <v>1250</v>
      </c>
      <c r="P422" s="8">
        <v>6.7745399999999997E-2</v>
      </c>
      <c r="Q422" s="8">
        <v>1.1570400000000001</v>
      </c>
      <c r="R422" s="8">
        <v>7.7312500000000006E-2</v>
      </c>
      <c r="S422" s="8">
        <f>Tabelle1[[#This Row],[corr_x]]/1000</f>
        <v>7.1882099999999998</v>
      </c>
      <c r="T422" s="8">
        <f>Tabelle1[[#This Row],[corr_y]]/1000</f>
        <v>14.08</v>
      </c>
      <c r="U422" s="8">
        <f>Tabelle1[[#This Row],[corr_z]]/1000</f>
        <v>8.1999999999999993</v>
      </c>
      <c r="V422" s="8">
        <f>Tabelle1[[#This Row],[corr_soma_x]]/1000</f>
        <v>7.6831100000000001</v>
      </c>
      <c r="W422" s="8">
        <f>Tabelle1[[#This Row],[corr_soma_y]]/1000</f>
        <v>25.189399999999999</v>
      </c>
      <c r="X422" s="8">
        <f>Tabelle1[[#This Row],[corr_soma_z]]/1000</f>
        <v>1.25</v>
      </c>
    </row>
    <row r="423" spans="1:24" x14ac:dyDescent="0.35">
      <c r="A423" s="7" t="s">
        <v>15</v>
      </c>
      <c r="B423" s="7" t="s">
        <v>18</v>
      </c>
      <c r="C423" s="6">
        <v>69</v>
      </c>
      <c r="D423" s="5">
        <v>7152.4049999999997</v>
      </c>
      <c r="E423" s="5">
        <v>14498.750000000002</v>
      </c>
      <c r="F423" s="5">
        <v>8175.0000000000009</v>
      </c>
      <c r="G423" s="5">
        <v>7683.11</v>
      </c>
      <c r="H423" s="5">
        <v>25189.399999999998</v>
      </c>
      <c r="I423" s="5">
        <v>1250</v>
      </c>
      <c r="J423" s="5">
        <v>7152.4049999999997</v>
      </c>
      <c r="K423" s="5">
        <v>14498.750000000002</v>
      </c>
      <c r="L423" s="5">
        <v>8175.0000000000009</v>
      </c>
      <c r="M423" s="5">
        <v>7683.11</v>
      </c>
      <c r="N423" s="5">
        <v>25189.399999999998</v>
      </c>
      <c r="O423" s="5">
        <v>1250</v>
      </c>
      <c r="P423" s="8">
        <v>3.9655700000000002E-2</v>
      </c>
      <c r="Q423" s="8">
        <v>2.36104</v>
      </c>
      <c r="R423" s="8">
        <v>0.17211099999999999</v>
      </c>
      <c r="S423" s="8">
        <f>Tabelle1[[#This Row],[corr_x]]/1000</f>
        <v>7.1524049999999999</v>
      </c>
      <c r="T423" s="8">
        <f>Tabelle1[[#This Row],[corr_y]]/1000</f>
        <v>14.498750000000001</v>
      </c>
      <c r="U423" s="8">
        <f>Tabelle1[[#This Row],[corr_z]]/1000</f>
        <v>8.1750000000000007</v>
      </c>
      <c r="V423" s="8">
        <f>Tabelle1[[#This Row],[corr_soma_x]]/1000</f>
        <v>7.6831100000000001</v>
      </c>
      <c r="W423" s="8">
        <f>Tabelle1[[#This Row],[corr_soma_y]]/1000</f>
        <v>25.189399999999999</v>
      </c>
      <c r="X423" s="8">
        <f>Tabelle1[[#This Row],[corr_soma_z]]/1000</f>
        <v>1.25</v>
      </c>
    </row>
    <row r="424" spans="1:24" x14ac:dyDescent="0.35">
      <c r="A424" s="7" t="s">
        <v>15</v>
      </c>
      <c r="B424" s="7" t="s">
        <v>18</v>
      </c>
      <c r="C424" s="6">
        <v>70</v>
      </c>
      <c r="D424" s="5">
        <v>7830.8949999999995</v>
      </c>
      <c r="E424" s="5">
        <v>14380.749999999998</v>
      </c>
      <c r="F424" s="5">
        <v>8425</v>
      </c>
      <c r="G424" s="5">
        <v>7683.11</v>
      </c>
      <c r="H424" s="5">
        <v>25189.399999999998</v>
      </c>
      <c r="I424" s="5">
        <v>1250</v>
      </c>
      <c r="J424" s="5">
        <v>7830.8949999999995</v>
      </c>
      <c r="K424" s="5">
        <v>14380.749999999998</v>
      </c>
      <c r="L424" s="5">
        <v>8425</v>
      </c>
      <c r="M424" s="5">
        <v>7683.11</v>
      </c>
      <c r="N424" s="5">
        <v>25189.399999999998</v>
      </c>
      <c r="O424" s="5">
        <v>1250</v>
      </c>
      <c r="P424" s="8">
        <v>2.7126299999999999E-2</v>
      </c>
      <c r="Q424" s="8">
        <v>0.62870999999999999</v>
      </c>
      <c r="R424" s="8">
        <v>2.71542E-2</v>
      </c>
      <c r="S424" s="8">
        <f>Tabelle1[[#This Row],[corr_x]]/1000</f>
        <v>7.8308949999999999</v>
      </c>
      <c r="T424" s="8">
        <f>Tabelle1[[#This Row],[corr_y]]/1000</f>
        <v>14.380749999999999</v>
      </c>
      <c r="U424" s="8">
        <f>Tabelle1[[#This Row],[corr_z]]/1000</f>
        <v>8.4250000000000007</v>
      </c>
      <c r="V424" s="8">
        <f>Tabelle1[[#This Row],[corr_soma_x]]/1000</f>
        <v>7.6831100000000001</v>
      </c>
      <c r="W424" s="8">
        <f>Tabelle1[[#This Row],[corr_soma_y]]/1000</f>
        <v>25.189399999999999</v>
      </c>
      <c r="X424" s="8">
        <f>Tabelle1[[#This Row],[corr_soma_z]]/1000</f>
        <v>1.25</v>
      </c>
    </row>
    <row r="425" spans="1:24" x14ac:dyDescent="0.35">
      <c r="A425" s="7" t="s">
        <v>15</v>
      </c>
      <c r="B425" s="7" t="s">
        <v>18</v>
      </c>
      <c r="C425" s="6">
        <v>71</v>
      </c>
      <c r="D425" s="5">
        <v>7605.665</v>
      </c>
      <c r="E425" s="5">
        <v>14445.449999999999</v>
      </c>
      <c r="F425" s="5">
        <v>8725</v>
      </c>
      <c r="G425" s="5">
        <v>7683.11</v>
      </c>
      <c r="H425" s="5">
        <v>25189.399999999998</v>
      </c>
      <c r="I425" s="5">
        <v>1250</v>
      </c>
      <c r="J425" s="5">
        <v>7605.665</v>
      </c>
      <c r="K425" s="5">
        <v>14445.449999999999</v>
      </c>
      <c r="L425" s="5">
        <v>8725</v>
      </c>
      <c r="M425" s="5">
        <v>7683.11</v>
      </c>
      <c r="N425" s="5">
        <v>25189.399999999998</v>
      </c>
      <c r="O425" s="5">
        <v>1250</v>
      </c>
      <c r="P425" s="8">
        <v>3.7251800000000002E-2</v>
      </c>
      <c r="Q425" s="8">
        <v>1.30735</v>
      </c>
      <c r="R425" s="8">
        <v>7.8103000000000006E-2</v>
      </c>
      <c r="S425" s="8">
        <f>Tabelle1[[#This Row],[corr_x]]/1000</f>
        <v>7.6056650000000001</v>
      </c>
      <c r="T425" s="8">
        <f>Tabelle1[[#This Row],[corr_y]]/1000</f>
        <v>14.445449999999999</v>
      </c>
      <c r="U425" s="8">
        <f>Tabelle1[[#This Row],[corr_z]]/1000</f>
        <v>8.7249999999999996</v>
      </c>
      <c r="V425" s="8">
        <f>Tabelle1[[#This Row],[corr_soma_x]]/1000</f>
        <v>7.6831100000000001</v>
      </c>
      <c r="W425" s="8">
        <f>Tabelle1[[#This Row],[corr_soma_y]]/1000</f>
        <v>25.189399999999999</v>
      </c>
      <c r="X425" s="8">
        <f>Tabelle1[[#This Row],[corr_soma_z]]/1000</f>
        <v>1.25</v>
      </c>
    </row>
    <row r="426" spans="1:24" x14ac:dyDescent="0.35">
      <c r="A426" s="7" t="s">
        <v>15</v>
      </c>
      <c r="B426" s="7" t="s">
        <v>18</v>
      </c>
      <c r="C426" s="6">
        <v>72</v>
      </c>
      <c r="D426" s="5">
        <v>7954.4849999999997</v>
      </c>
      <c r="E426" s="5">
        <v>13979.55</v>
      </c>
      <c r="F426" s="5">
        <v>8675</v>
      </c>
      <c r="G426" s="5">
        <v>7683.11</v>
      </c>
      <c r="H426" s="5">
        <v>25189.399999999998</v>
      </c>
      <c r="I426" s="5">
        <v>1250</v>
      </c>
      <c r="J426" s="5">
        <v>7954.4849999999997</v>
      </c>
      <c r="K426" s="5">
        <v>13979.55</v>
      </c>
      <c r="L426" s="5">
        <v>8675</v>
      </c>
      <c r="M426" s="5">
        <v>7683.11</v>
      </c>
      <c r="N426" s="5">
        <v>25189.399999999998</v>
      </c>
      <c r="O426" s="5">
        <v>1250</v>
      </c>
      <c r="P426" s="8">
        <v>5.21019E-2</v>
      </c>
      <c r="Q426" s="8">
        <v>1.5892500000000001</v>
      </c>
      <c r="R426" s="8">
        <v>6.3145199999999999E-2</v>
      </c>
      <c r="S426" s="8">
        <f>Tabelle1[[#This Row],[corr_x]]/1000</f>
        <v>7.954485</v>
      </c>
      <c r="T426" s="8">
        <f>Tabelle1[[#This Row],[corr_y]]/1000</f>
        <v>13.97955</v>
      </c>
      <c r="U426" s="8">
        <f>Tabelle1[[#This Row],[corr_z]]/1000</f>
        <v>8.6750000000000007</v>
      </c>
      <c r="V426" s="8">
        <f>Tabelle1[[#This Row],[corr_soma_x]]/1000</f>
        <v>7.6831100000000001</v>
      </c>
      <c r="W426" s="8">
        <f>Tabelle1[[#This Row],[corr_soma_y]]/1000</f>
        <v>25.189399999999999</v>
      </c>
      <c r="X426" s="8">
        <f>Tabelle1[[#This Row],[corr_soma_z]]/1000</f>
        <v>1.25</v>
      </c>
    </row>
    <row r="427" spans="1:24" x14ac:dyDescent="0.35">
      <c r="A427" s="7" t="s">
        <v>15</v>
      </c>
      <c r="B427" s="7" t="s">
        <v>18</v>
      </c>
      <c r="C427" s="6">
        <v>73</v>
      </c>
      <c r="D427" s="5">
        <v>7752.6750000000002</v>
      </c>
      <c r="E427" s="5">
        <v>13816.199999999999</v>
      </c>
      <c r="F427" s="5">
        <v>9025</v>
      </c>
      <c r="G427" s="5">
        <v>7683.11</v>
      </c>
      <c r="H427" s="5">
        <v>25189.399999999998</v>
      </c>
      <c r="I427" s="5">
        <v>1250</v>
      </c>
      <c r="J427" s="5">
        <v>7752.6750000000002</v>
      </c>
      <c r="K427" s="5">
        <v>13816.199999999999</v>
      </c>
      <c r="L427" s="5">
        <v>9025</v>
      </c>
      <c r="M427" s="5">
        <v>7683.11</v>
      </c>
      <c r="N427" s="5">
        <v>25189.399999999998</v>
      </c>
      <c r="O427" s="5">
        <v>1250</v>
      </c>
      <c r="P427" s="8">
        <v>8.8928199999999999E-2</v>
      </c>
      <c r="Q427" s="8">
        <v>1.3542799999999999</v>
      </c>
      <c r="R427" s="8">
        <v>0.101066</v>
      </c>
      <c r="S427" s="8">
        <f>Tabelle1[[#This Row],[corr_x]]/1000</f>
        <v>7.752675</v>
      </c>
      <c r="T427" s="8">
        <f>Tabelle1[[#This Row],[corr_y]]/1000</f>
        <v>13.816199999999998</v>
      </c>
      <c r="U427" s="8">
        <f>Tabelle1[[#This Row],[corr_z]]/1000</f>
        <v>9.0250000000000004</v>
      </c>
      <c r="V427" s="8">
        <f>Tabelle1[[#This Row],[corr_soma_x]]/1000</f>
        <v>7.6831100000000001</v>
      </c>
      <c r="W427" s="8">
        <f>Tabelle1[[#This Row],[corr_soma_y]]/1000</f>
        <v>25.189399999999999</v>
      </c>
      <c r="X427" s="8">
        <f>Tabelle1[[#This Row],[corr_soma_z]]/1000</f>
        <v>1.25</v>
      </c>
    </row>
    <row r="428" spans="1:24" x14ac:dyDescent="0.35">
      <c r="A428" s="7" t="s">
        <v>15</v>
      </c>
      <c r="B428" s="7" t="s">
        <v>19</v>
      </c>
      <c r="C428" s="6">
        <v>18</v>
      </c>
      <c r="D428" s="5">
        <v>7410.47</v>
      </c>
      <c r="E428" s="5">
        <v>14414.65</v>
      </c>
      <c r="F428" s="5">
        <v>9625</v>
      </c>
      <c r="G428" s="5">
        <v>7683.11</v>
      </c>
      <c r="H428" s="5">
        <v>25189.399999999998</v>
      </c>
      <c r="I428" s="5">
        <v>1250</v>
      </c>
      <c r="J428" s="5">
        <v>7410.47</v>
      </c>
      <c r="K428" s="5">
        <v>14414.65</v>
      </c>
      <c r="L428" s="5">
        <v>9625</v>
      </c>
      <c r="M428" s="5">
        <v>7683.11</v>
      </c>
      <c r="N428" s="5">
        <v>25189.399999999998</v>
      </c>
      <c r="O428" s="5">
        <v>1250</v>
      </c>
      <c r="P428" s="8">
        <v>2.8776699999999999E-2</v>
      </c>
      <c r="Q428" s="8">
        <v>5.0361500000000001</v>
      </c>
      <c r="R428" s="8">
        <v>0.53925500000000004</v>
      </c>
      <c r="S428" s="8">
        <f>Tabelle1[[#This Row],[corr_x]]/1000</f>
        <v>7.4104700000000001</v>
      </c>
      <c r="T428" s="8">
        <f>Tabelle1[[#This Row],[corr_y]]/1000</f>
        <v>14.41465</v>
      </c>
      <c r="U428" s="8">
        <f>Tabelle1[[#This Row],[corr_z]]/1000</f>
        <v>9.625</v>
      </c>
      <c r="V428" s="8">
        <f>Tabelle1[[#This Row],[corr_soma_x]]/1000</f>
        <v>7.6831100000000001</v>
      </c>
      <c r="W428" s="8">
        <f>Tabelle1[[#This Row],[corr_soma_y]]/1000</f>
        <v>25.189399999999999</v>
      </c>
      <c r="X428" s="8">
        <f>Tabelle1[[#This Row],[corr_soma_z]]/1000</f>
        <v>1.25</v>
      </c>
    </row>
    <row r="429" spans="1:24" x14ac:dyDescent="0.35">
      <c r="A429" s="7" t="s">
        <v>15</v>
      </c>
      <c r="B429" s="7" t="s">
        <v>18</v>
      </c>
      <c r="C429" s="6">
        <v>74</v>
      </c>
      <c r="D429" s="5">
        <v>7261.97</v>
      </c>
      <c r="E429" s="5">
        <v>14060.500000000002</v>
      </c>
      <c r="F429" s="5">
        <v>9425</v>
      </c>
      <c r="G429" s="5">
        <v>7683.11</v>
      </c>
      <c r="H429" s="5">
        <v>25189.399999999998</v>
      </c>
      <c r="I429" s="5">
        <v>1250</v>
      </c>
      <c r="J429" s="5">
        <v>7261.97</v>
      </c>
      <c r="K429" s="5">
        <v>14060.500000000002</v>
      </c>
      <c r="L429" s="5">
        <v>9425</v>
      </c>
      <c r="M429" s="5">
        <v>7683.11</v>
      </c>
      <c r="N429" s="5">
        <v>25189.399999999998</v>
      </c>
      <c r="O429" s="5">
        <v>1250</v>
      </c>
      <c r="P429" s="8">
        <v>4.9326500000000002E-2</v>
      </c>
      <c r="Q429" s="8">
        <v>1.0492699999999999</v>
      </c>
      <c r="R429" s="8">
        <v>5.2113E-2</v>
      </c>
      <c r="S429" s="8">
        <f>Tabelle1[[#This Row],[corr_x]]/1000</f>
        <v>7.2619699999999998</v>
      </c>
      <c r="T429" s="8">
        <f>Tabelle1[[#This Row],[corr_y]]/1000</f>
        <v>14.060500000000001</v>
      </c>
      <c r="U429" s="8">
        <f>Tabelle1[[#This Row],[corr_z]]/1000</f>
        <v>9.4250000000000007</v>
      </c>
      <c r="V429" s="8">
        <f>Tabelle1[[#This Row],[corr_soma_x]]/1000</f>
        <v>7.6831100000000001</v>
      </c>
      <c r="W429" s="8">
        <f>Tabelle1[[#This Row],[corr_soma_y]]/1000</f>
        <v>25.189399999999999</v>
      </c>
      <c r="X429" s="8">
        <f>Tabelle1[[#This Row],[corr_soma_z]]/1000</f>
        <v>1.25</v>
      </c>
    </row>
    <row r="430" spans="1:24" x14ac:dyDescent="0.35">
      <c r="A430" s="7" t="s">
        <v>15</v>
      </c>
      <c r="B430" s="7" t="s">
        <v>18</v>
      </c>
      <c r="C430" s="6">
        <v>75</v>
      </c>
      <c r="D430" s="5">
        <v>7760.4299999999994</v>
      </c>
      <c r="E430" s="5">
        <v>14214.400000000001</v>
      </c>
      <c r="F430" s="5">
        <v>10175</v>
      </c>
      <c r="G430" s="5">
        <v>7683.11</v>
      </c>
      <c r="H430" s="5">
        <v>25189.399999999998</v>
      </c>
      <c r="I430" s="5">
        <v>1250</v>
      </c>
      <c r="J430" s="5">
        <v>7760.4299999999994</v>
      </c>
      <c r="K430" s="5">
        <v>14214.400000000001</v>
      </c>
      <c r="L430" s="5">
        <v>10175</v>
      </c>
      <c r="M430" s="5">
        <v>7683.11</v>
      </c>
      <c r="N430" s="5">
        <v>25189.399999999998</v>
      </c>
      <c r="O430" s="5">
        <v>1250</v>
      </c>
      <c r="P430" s="8">
        <v>0.14005200000000001</v>
      </c>
      <c r="Q430" s="8">
        <v>1.7839799999999999</v>
      </c>
      <c r="R430" s="8">
        <v>0.15958600000000001</v>
      </c>
      <c r="S430" s="8">
        <f>Tabelle1[[#This Row],[corr_x]]/1000</f>
        <v>7.7604299999999995</v>
      </c>
      <c r="T430" s="8">
        <f>Tabelle1[[#This Row],[corr_y]]/1000</f>
        <v>14.214400000000001</v>
      </c>
      <c r="U430" s="8">
        <f>Tabelle1[[#This Row],[corr_z]]/1000</f>
        <v>10.175000000000001</v>
      </c>
      <c r="V430" s="8">
        <f>Tabelle1[[#This Row],[corr_soma_x]]/1000</f>
        <v>7.6831100000000001</v>
      </c>
      <c r="W430" s="8">
        <f>Tabelle1[[#This Row],[corr_soma_y]]/1000</f>
        <v>25.189399999999999</v>
      </c>
      <c r="X430" s="8">
        <f>Tabelle1[[#This Row],[corr_soma_z]]/1000</f>
        <v>1.25</v>
      </c>
    </row>
    <row r="431" spans="1:24" x14ac:dyDescent="0.35">
      <c r="A431" s="7" t="s">
        <v>15</v>
      </c>
      <c r="B431" s="7" t="s">
        <v>18</v>
      </c>
      <c r="C431" s="6">
        <v>76</v>
      </c>
      <c r="D431" s="5">
        <v>7512.4050000000007</v>
      </c>
      <c r="E431" s="5">
        <v>14494.150000000001</v>
      </c>
      <c r="F431" s="5">
        <v>10025</v>
      </c>
      <c r="G431" s="5">
        <v>7683.11</v>
      </c>
      <c r="H431" s="5">
        <v>25189.399999999998</v>
      </c>
      <c r="I431" s="5">
        <v>1250</v>
      </c>
      <c r="J431" s="5">
        <v>7512.4050000000007</v>
      </c>
      <c r="K431" s="5">
        <v>14494.150000000001</v>
      </c>
      <c r="L431" s="5">
        <v>10025</v>
      </c>
      <c r="M431" s="5">
        <v>7683.11</v>
      </c>
      <c r="N431" s="5">
        <v>25189.399999999998</v>
      </c>
      <c r="O431" s="5">
        <v>1250</v>
      </c>
      <c r="P431" s="8">
        <v>4.4382499999999998E-2</v>
      </c>
      <c r="Q431" s="8">
        <v>1.1346400000000001</v>
      </c>
      <c r="R431" s="8">
        <v>5.2623400000000001E-2</v>
      </c>
      <c r="S431" s="8">
        <f>Tabelle1[[#This Row],[corr_x]]/1000</f>
        <v>7.5124050000000002</v>
      </c>
      <c r="T431" s="8">
        <f>Tabelle1[[#This Row],[corr_y]]/1000</f>
        <v>14.494150000000001</v>
      </c>
      <c r="U431" s="8">
        <f>Tabelle1[[#This Row],[corr_z]]/1000</f>
        <v>10.025</v>
      </c>
      <c r="V431" s="8">
        <f>Tabelle1[[#This Row],[corr_soma_x]]/1000</f>
        <v>7.6831100000000001</v>
      </c>
      <c r="W431" s="8">
        <f>Tabelle1[[#This Row],[corr_soma_y]]/1000</f>
        <v>25.189399999999999</v>
      </c>
      <c r="X431" s="8">
        <f>Tabelle1[[#This Row],[corr_soma_z]]/1000</f>
        <v>1.25</v>
      </c>
    </row>
    <row r="432" spans="1:24" x14ac:dyDescent="0.35">
      <c r="A432" s="7" t="s">
        <v>15</v>
      </c>
      <c r="B432" s="7" t="s">
        <v>18</v>
      </c>
      <c r="C432" s="6">
        <v>77</v>
      </c>
      <c r="D432" s="5">
        <v>8098.9350000000013</v>
      </c>
      <c r="E432" s="5">
        <v>13607.849999999999</v>
      </c>
      <c r="F432" s="5">
        <v>10575</v>
      </c>
      <c r="G432" s="5">
        <v>7683.11</v>
      </c>
      <c r="H432" s="5">
        <v>25189.399999999998</v>
      </c>
      <c r="I432" s="5">
        <v>1250</v>
      </c>
      <c r="J432" s="5">
        <v>8098.9350000000013</v>
      </c>
      <c r="K432" s="5">
        <v>13607.849999999999</v>
      </c>
      <c r="L432" s="5">
        <v>10575</v>
      </c>
      <c r="M432" s="5">
        <v>7683.11</v>
      </c>
      <c r="N432" s="5">
        <v>25189.399999999998</v>
      </c>
      <c r="O432" s="5">
        <v>1250</v>
      </c>
      <c r="P432" s="8">
        <v>3.53037E-2</v>
      </c>
      <c r="Q432" s="8">
        <v>3.7326800000000002</v>
      </c>
      <c r="R432" s="8">
        <v>0.39846700000000002</v>
      </c>
      <c r="S432" s="8">
        <f>Tabelle1[[#This Row],[corr_x]]/1000</f>
        <v>8.0989350000000009</v>
      </c>
      <c r="T432" s="8">
        <f>Tabelle1[[#This Row],[corr_y]]/1000</f>
        <v>13.607849999999999</v>
      </c>
      <c r="U432" s="8">
        <f>Tabelle1[[#This Row],[corr_z]]/1000</f>
        <v>10.574999999999999</v>
      </c>
      <c r="V432" s="8">
        <f>Tabelle1[[#This Row],[corr_soma_x]]/1000</f>
        <v>7.6831100000000001</v>
      </c>
      <c r="W432" s="8">
        <f>Tabelle1[[#This Row],[corr_soma_y]]/1000</f>
        <v>25.189399999999999</v>
      </c>
      <c r="X432" s="8">
        <f>Tabelle1[[#This Row],[corr_soma_z]]/1000</f>
        <v>1.25</v>
      </c>
    </row>
    <row r="433" spans="1:24" x14ac:dyDescent="0.35">
      <c r="A433" s="7" t="s">
        <v>15</v>
      </c>
      <c r="B433" s="7" t="s">
        <v>18</v>
      </c>
      <c r="C433" s="6">
        <v>78</v>
      </c>
      <c r="D433" s="5">
        <v>7926.48</v>
      </c>
      <c r="E433" s="5">
        <v>13904.6</v>
      </c>
      <c r="F433" s="5">
        <v>10600</v>
      </c>
      <c r="G433" s="5">
        <v>7683.11</v>
      </c>
      <c r="H433" s="5">
        <v>25189.399999999998</v>
      </c>
      <c r="I433" s="5">
        <v>1250</v>
      </c>
      <c r="J433" s="5">
        <v>7926.48</v>
      </c>
      <c r="K433" s="5">
        <v>13904.6</v>
      </c>
      <c r="L433" s="5">
        <v>10600</v>
      </c>
      <c r="M433" s="5">
        <v>7683.11</v>
      </c>
      <c r="N433" s="5">
        <v>25189.399999999998</v>
      </c>
      <c r="O433" s="5">
        <v>1250</v>
      </c>
      <c r="P433" s="8">
        <v>4.2504E-2</v>
      </c>
      <c r="Q433" s="8">
        <v>0.72167000000000003</v>
      </c>
      <c r="R433" s="8">
        <v>4.0512300000000001E-2</v>
      </c>
      <c r="S433" s="8">
        <f>Tabelle1[[#This Row],[corr_x]]/1000</f>
        <v>7.9264799999999997</v>
      </c>
      <c r="T433" s="8">
        <f>Tabelle1[[#This Row],[corr_y]]/1000</f>
        <v>13.9046</v>
      </c>
      <c r="U433" s="8">
        <f>Tabelle1[[#This Row],[corr_z]]/1000</f>
        <v>10.6</v>
      </c>
      <c r="V433" s="8">
        <f>Tabelle1[[#This Row],[corr_soma_x]]/1000</f>
        <v>7.6831100000000001</v>
      </c>
      <c r="W433" s="8">
        <f>Tabelle1[[#This Row],[corr_soma_y]]/1000</f>
        <v>25.189399999999999</v>
      </c>
      <c r="X433" s="8">
        <f>Tabelle1[[#This Row],[corr_soma_z]]/1000</f>
        <v>1.25</v>
      </c>
    </row>
    <row r="434" spans="1:24" x14ac:dyDescent="0.35">
      <c r="A434" s="7" t="s">
        <v>15</v>
      </c>
      <c r="B434" s="7" t="s">
        <v>18</v>
      </c>
      <c r="C434" s="6">
        <v>79</v>
      </c>
      <c r="D434" s="5">
        <v>7492</v>
      </c>
      <c r="E434" s="5">
        <v>13931.35</v>
      </c>
      <c r="F434" s="5">
        <v>10725</v>
      </c>
      <c r="G434" s="5">
        <v>7683.11</v>
      </c>
      <c r="H434" s="5">
        <v>25189.399999999998</v>
      </c>
      <c r="I434" s="5">
        <v>1250</v>
      </c>
      <c r="J434" s="5">
        <v>7492</v>
      </c>
      <c r="K434" s="5">
        <v>13931.35</v>
      </c>
      <c r="L434" s="5">
        <v>10725</v>
      </c>
      <c r="M434" s="5">
        <v>7683.11</v>
      </c>
      <c r="N434" s="5">
        <v>25189.399999999998</v>
      </c>
      <c r="O434" s="5">
        <v>1250</v>
      </c>
      <c r="P434" s="8">
        <v>3.4596000000000002E-2</v>
      </c>
      <c r="Q434" s="8">
        <v>2.0305499999999999</v>
      </c>
      <c r="R434" s="8">
        <v>0.17696799999999999</v>
      </c>
      <c r="S434" s="8">
        <f>Tabelle1[[#This Row],[corr_x]]/1000</f>
        <v>7.492</v>
      </c>
      <c r="T434" s="8">
        <f>Tabelle1[[#This Row],[corr_y]]/1000</f>
        <v>13.93135</v>
      </c>
      <c r="U434" s="8">
        <f>Tabelle1[[#This Row],[corr_z]]/1000</f>
        <v>10.725</v>
      </c>
      <c r="V434" s="8">
        <f>Tabelle1[[#This Row],[corr_soma_x]]/1000</f>
        <v>7.6831100000000001</v>
      </c>
      <c r="W434" s="8">
        <f>Tabelle1[[#This Row],[corr_soma_y]]/1000</f>
        <v>25.189399999999999</v>
      </c>
      <c r="X434" s="8">
        <f>Tabelle1[[#This Row],[corr_soma_z]]/1000</f>
        <v>1.25</v>
      </c>
    </row>
    <row r="435" spans="1:24" x14ac:dyDescent="0.35">
      <c r="A435" s="7" t="s">
        <v>15</v>
      </c>
      <c r="B435" s="7" t="s">
        <v>18</v>
      </c>
      <c r="C435" s="6">
        <v>80</v>
      </c>
      <c r="D435" s="5">
        <v>7486.0949999999993</v>
      </c>
      <c r="E435" s="5">
        <v>14364.25</v>
      </c>
      <c r="F435" s="5">
        <v>10625</v>
      </c>
      <c r="G435" s="5">
        <v>7683.11</v>
      </c>
      <c r="H435" s="5">
        <v>25189.399999999998</v>
      </c>
      <c r="I435" s="5">
        <v>1250</v>
      </c>
      <c r="J435" s="5">
        <v>7486.0949999999993</v>
      </c>
      <c r="K435" s="5">
        <v>14364.25</v>
      </c>
      <c r="L435" s="5">
        <v>10625</v>
      </c>
      <c r="M435" s="5">
        <v>7683.11</v>
      </c>
      <c r="N435" s="5">
        <v>25189.399999999998</v>
      </c>
      <c r="O435" s="5">
        <v>1250</v>
      </c>
      <c r="P435" s="8">
        <v>1.9466500000000001E-2</v>
      </c>
      <c r="Q435" s="8">
        <v>0.88814000000000004</v>
      </c>
      <c r="R435" s="8">
        <v>5.72639E-2</v>
      </c>
      <c r="S435" s="8">
        <f>Tabelle1[[#This Row],[corr_x]]/1000</f>
        <v>7.4860949999999997</v>
      </c>
      <c r="T435" s="8">
        <f>Tabelle1[[#This Row],[corr_y]]/1000</f>
        <v>14.36425</v>
      </c>
      <c r="U435" s="8">
        <f>Tabelle1[[#This Row],[corr_z]]/1000</f>
        <v>10.625</v>
      </c>
      <c r="V435" s="8">
        <f>Tabelle1[[#This Row],[corr_soma_x]]/1000</f>
        <v>7.6831100000000001</v>
      </c>
      <c r="W435" s="8">
        <f>Tabelle1[[#This Row],[corr_soma_y]]/1000</f>
        <v>25.189399999999999</v>
      </c>
      <c r="X435" s="8">
        <f>Tabelle1[[#This Row],[corr_soma_z]]/1000</f>
        <v>1.25</v>
      </c>
    </row>
    <row r="436" spans="1:24" x14ac:dyDescent="0.35">
      <c r="A436" s="7" t="s">
        <v>15</v>
      </c>
      <c r="B436" s="7" t="s">
        <v>18</v>
      </c>
      <c r="C436" s="6">
        <v>81</v>
      </c>
      <c r="D436" s="5">
        <v>7611.76</v>
      </c>
      <c r="E436" s="5">
        <v>14216.6</v>
      </c>
      <c r="F436" s="5">
        <v>10775</v>
      </c>
      <c r="G436" s="5">
        <v>7683.11</v>
      </c>
      <c r="H436" s="5">
        <v>25189.399999999998</v>
      </c>
      <c r="I436" s="5">
        <v>1250</v>
      </c>
      <c r="J436" s="5">
        <v>7611.76</v>
      </c>
      <c r="K436" s="5">
        <v>14216.6</v>
      </c>
      <c r="L436" s="5">
        <v>10775</v>
      </c>
      <c r="M436" s="5">
        <v>7683.11</v>
      </c>
      <c r="N436" s="5">
        <v>25189.399999999998</v>
      </c>
      <c r="O436" s="5">
        <v>1250</v>
      </c>
      <c r="P436" s="8">
        <v>2.8218E-2</v>
      </c>
      <c r="Q436" s="8">
        <v>1.1823300000000001</v>
      </c>
      <c r="R436" s="8">
        <v>6.8424499999999999E-2</v>
      </c>
      <c r="S436" s="8">
        <f>Tabelle1[[#This Row],[corr_x]]/1000</f>
        <v>7.6117600000000003</v>
      </c>
      <c r="T436" s="8">
        <f>Tabelle1[[#This Row],[corr_y]]/1000</f>
        <v>14.2166</v>
      </c>
      <c r="U436" s="8">
        <f>Tabelle1[[#This Row],[corr_z]]/1000</f>
        <v>10.775</v>
      </c>
      <c r="V436" s="8">
        <f>Tabelle1[[#This Row],[corr_soma_x]]/1000</f>
        <v>7.6831100000000001</v>
      </c>
      <c r="W436" s="8">
        <f>Tabelle1[[#This Row],[corr_soma_y]]/1000</f>
        <v>25.189399999999999</v>
      </c>
      <c r="X436" s="8">
        <f>Tabelle1[[#This Row],[corr_soma_z]]/1000</f>
        <v>1.25</v>
      </c>
    </row>
    <row r="437" spans="1:24" x14ac:dyDescent="0.35">
      <c r="A437" s="7" t="s">
        <v>15</v>
      </c>
      <c r="B437" s="7" t="s">
        <v>18</v>
      </c>
      <c r="C437" s="6">
        <v>82</v>
      </c>
      <c r="D437" s="5">
        <v>8531.1</v>
      </c>
      <c r="E437" s="5">
        <v>11551.7</v>
      </c>
      <c r="F437" s="5">
        <v>10875</v>
      </c>
      <c r="G437" s="5">
        <v>7683.11</v>
      </c>
      <c r="H437" s="5">
        <v>25189.399999999998</v>
      </c>
      <c r="I437" s="5">
        <v>1250</v>
      </c>
      <c r="J437" s="5">
        <v>8531.1</v>
      </c>
      <c r="K437" s="5">
        <v>11551.7</v>
      </c>
      <c r="L437" s="5">
        <v>10875</v>
      </c>
      <c r="M437" s="5">
        <v>7683.11</v>
      </c>
      <c r="N437" s="5">
        <v>25189.399999999998</v>
      </c>
      <c r="O437" s="5">
        <v>1250</v>
      </c>
      <c r="P437" s="8">
        <v>6.2114599999999999E-2</v>
      </c>
      <c r="Q437" s="8">
        <v>2.26735</v>
      </c>
      <c r="R437" s="8">
        <v>0.18106</v>
      </c>
      <c r="S437" s="8">
        <f>Tabelle1[[#This Row],[corr_x]]/1000</f>
        <v>8.5311000000000003</v>
      </c>
      <c r="T437" s="8">
        <f>Tabelle1[[#This Row],[corr_y]]/1000</f>
        <v>11.5517</v>
      </c>
      <c r="U437" s="8">
        <f>Tabelle1[[#This Row],[corr_z]]/1000</f>
        <v>10.875</v>
      </c>
      <c r="V437" s="8">
        <f>Tabelle1[[#This Row],[corr_soma_x]]/1000</f>
        <v>7.6831100000000001</v>
      </c>
      <c r="W437" s="8">
        <f>Tabelle1[[#This Row],[corr_soma_y]]/1000</f>
        <v>25.189399999999999</v>
      </c>
      <c r="X437" s="8">
        <f>Tabelle1[[#This Row],[corr_soma_z]]/1000</f>
        <v>1.25</v>
      </c>
    </row>
    <row r="438" spans="1:24" x14ac:dyDescent="0.35">
      <c r="A438" s="7" t="s">
        <v>15</v>
      </c>
      <c r="B438" s="7" t="s">
        <v>18</v>
      </c>
      <c r="C438" s="6">
        <v>83</v>
      </c>
      <c r="D438" s="5">
        <v>8596.43</v>
      </c>
      <c r="E438" s="5">
        <v>12909.7</v>
      </c>
      <c r="F438" s="5">
        <v>11200</v>
      </c>
      <c r="G438" s="5">
        <v>7683.11</v>
      </c>
      <c r="H438" s="5">
        <v>25189.399999999998</v>
      </c>
      <c r="I438" s="5">
        <v>1250</v>
      </c>
      <c r="J438" s="5">
        <v>8596.43</v>
      </c>
      <c r="K438" s="5">
        <v>12909.7</v>
      </c>
      <c r="L438" s="5">
        <v>11200</v>
      </c>
      <c r="M438" s="5">
        <v>7683.11</v>
      </c>
      <c r="N438" s="5">
        <v>25189.399999999998</v>
      </c>
      <c r="O438" s="5">
        <v>1250</v>
      </c>
      <c r="P438" s="8">
        <v>3.43754E-2</v>
      </c>
      <c r="Q438" s="8">
        <v>1.61256</v>
      </c>
      <c r="R438" s="8">
        <v>0.16817199999999999</v>
      </c>
      <c r="S438" s="8">
        <f>Tabelle1[[#This Row],[corr_x]]/1000</f>
        <v>8.5964299999999998</v>
      </c>
      <c r="T438" s="8">
        <f>Tabelle1[[#This Row],[corr_y]]/1000</f>
        <v>12.909700000000001</v>
      </c>
      <c r="U438" s="8">
        <f>Tabelle1[[#This Row],[corr_z]]/1000</f>
        <v>11.2</v>
      </c>
      <c r="V438" s="8">
        <f>Tabelle1[[#This Row],[corr_soma_x]]/1000</f>
        <v>7.6831100000000001</v>
      </c>
      <c r="W438" s="8">
        <f>Tabelle1[[#This Row],[corr_soma_y]]/1000</f>
        <v>25.189399999999999</v>
      </c>
      <c r="X438" s="8">
        <f>Tabelle1[[#This Row],[corr_soma_z]]/1000</f>
        <v>1.25</v>
      </c>
    </row>
    <row r="439" spans="1:24" x14ac:dyDescent="0.35">
      <c r="A439" s="7" t="s">
        <v>15</v>
      </c>
      <c r="B439" s="7" t="s">
        <v>18</v>
      </c>
      <c r="C439" s="6">
        <v>84</v>
      </c>
      <c r="D439" s="5">
        <v>8933.83</v>
      </c>
      <c r="E439" s="5">
        <v>14410.4</v>
      </c>
      <c r="F439" s="5">
        <v>11150</v>
      </c>
      <c r="G439" s="5">
        <v>7683.11</v>
      </c>
      <c r="H439" s="5">
        <v>25189.399999999998</v>
      </c>
      <c r="I439" s="5">
        <v>1250</v>
      </c>
      <c r="J439" s="5">
        <v>8933.83</v>
      </c>
      <c r="K439" s="5">
        <v>14410.4</v>
      </c>
      <c r="L439" s="5">
        <v>11150</v>
      </c>
      <c r="M439" s="5">
        <v>7683.11</v>
      </c>
      <c r="N439" s="5">
        <v>25189.399999999998</v>
      </c>
      <c r="O439" s="5">
        <v>1250</v>
      </c>
      <c r="P439" s="8">
        <v>5.1057600000000002E-2</v>
      </c>
      <c r="Q439" s="8">
        <v>1.5083599999999999</v>
      </c>
      <c r="R439" s="8">
        <v>9.6184199999999997E-2</v>
      </c>
      <c r="S439" s="8">
        <f>Tabelle1[[#This Row],[corr_x]]/1000</f>
        <v>8.9338300000000004</v>
      </c>
      <c r="T439" s="8">
        <f>Tabelle1[[#This Row],[corr_y]]/1000</f>
        <v>14.410399999999999</v>
      </c>
      <c r="U439" s="8">
        <f>Tabelle1[[#This Row],[corr_z]]/1000</f>
        <v>11.15</v>
      </c>
      <c r="V439" s="8">
        <f>Tabelle1[[#This Row],[corr_soma_x]]/1000</f>
        <v>7.6831100000000001</v>
      </c>
      <c r="W439" s="8">
        <f>Tabelle1[[#This Row],[corr_soma_y]]/1000</f>
        <v>25.189399999999999</v>
      </c>
      <c r="X439" s="8">
        <f>Tabelle1[[#This Row],[corr_soma_z]]/1000</f>
        <v>1.25</v>
      </c>
    </row>
    <row r="440" spans="1:24" x14ac:dyDescent="0.35">
      <c r="A440" s="7" t="s">
        <v>15</v>
      </c>
      <c r="B440" s="7" t="s">
        <v>18</v>
      </c>
      <c r="C440" s="6">
        <v>85</v>
      </c>
      <c r="D440" s="5">
        <v>8094.39</v>
      </c>
      <c r="E440" s="5">
        <v>13741.4</v>
      </c>
      <c r="F440" s="5">
        <v>11125</v>
      </c>
      <c r="G440" s="5">
        <v>7683.11</v>
      </c>
      <c r="H440" s="5">
        <v>25189.399999999998</v>
      </c>
      <c r="I440" s="5">
        <v>1250</v>
      </c>
      <c r="J440" s="5">
        <v>8094.39</v>
      </c>
      <c r="K440" s="5">
        <v>13741.4</v>
      </c>
      <c r="L440" s="5">
        <v>11125</v>
      </c>
      <c r="M440" s="5">
        <v>7683.11</v>
      </c>
      <c r="N440" s="5">
        <v>25189.399999999998</v>
      </c>
      <c r="O440" s="5">
        <v>1250</v>
      </c>
      <c r="P440" s="8">
        <v>5.3273099999999997E-2</v>
      </c>
      <c r="Q440" s="8">
        <v>0.92815999999999999</v>
      </c>
      <c r="R440" s="8">
        <v>4.5954200000000001E-2</v>
      </c>
      <c r="S440" s="8">
        <f>Tabelle1[[#This Row],[corr_x]]/1000</f>
        <v>8.0943900000000006</v>
      </c>
      <c r="T440" s="8">
        <f>Tabelle1[[#This Row],[corr_y]]/1000</f>
        <v>13.741400000000001</v>
      </c>
      <c r="U440" s="8">
        <f>Tabelle1[[#This Row],[corr_z]]/1000</f>
        <v>11.125</v>
      </c>
      <c r="V440" s="8">
        <f>Tabelle1[[#This Row],[corr_soma_x]]/1000</f>
        <v>7.6831100000000001</v>
      </c>
      <c r="W440" s="8">
        <f>Tabelle1[[#This Row],[corr_soma_y]]/1000</f>
        <v>25.189399999999999</v>
      </c>
      <c r="X440" s="8">
        <f>Tabelle1[[#This Row],[corr_soma_z]]/1000</f>
        <v>1.25</v>
      </c>
    </row>
    <row r="441" spans="1:24" x14ac:dyDescent="0.35">
      <c r="A441" s="7" t="s">
        <v>15</v>
      </c>
      <c r="B441" s="7" t="s">
        <v>18</v>
      </c>
      <c r="C441" s="6">
        <v>86</v>
      </c>
      <c r="D441" s="5">
        <v>8391.81</v>
      </c>
      <c r="E441" s="5">
        <v>13378.4</v>
      </c>
      <c r="F441" s="5">
        <v>11050</v>
      </c>
      <c r="G441" s="5">
        <v>7683.11</v>
      </c>
      <c r="H441" s="5">
        <v>25189.399999999998</v>
      </c>
      <c r="I441" s="5">
        <v>1250</v>
      </c>
      <c r="J441" s="5">
        <v>8391.81</v>
      </c>
      <c r="K441" s="5">
        <v>13378.4</v>
      </c>
      <c r="L441" s="5">
        <v>11050</v>
      </c>
      <c r="M441" s="5">
        <v>7683.11</v>
      </c>
      <c r="N441" s="5">
        <v>25189.399999999998</v>
      </c>
      <c r="O441" s="5">
        <v>1250</v>
      </c>
      <c r="P441" s="8">
        <v>4.8335200000000002E-2</v>
      </c>
      <c r="Q441" s="8">
        <v>1.17249</v>
      </c>
      <c r="R441" s="8">
        <v>9.2891899999999999E-2</v>
      </c>
      <c r="S441" s="8">
        <f>Tabelle1[[#This Row],[corr_x]]/1000</f>
        <v>8.3918099999999995</v>
      </c>
      <c r="T441" s="8">
        <f>Tabelle1[[#This Row],[corr_y]]/1000</f>
        <v>13.378399999999999</v>
      </c>
      <c r="U441" s="8">
        <f>Tabelle1[[#This Row],[corr_z]]/1000</f>
        <v>11.05</v>
      </c>
      <c r="V441" s="8">
        <f>Tabelle1[[#This Row],[corr_soma_x]]/1000</f>
        <v>7.6831100000000001</v>
      </c>
      <c r="W441" s="8">
        <f>Tabelle1[[#This Row],[corr_soma_y]]/1000</f>
        <v>25.189399999999999</v>
      </c>
      <c r="X441" s="8">
        <f>Tabelle1[[#This Row],[corr_soma_z]]/1000</f>
        <v>1.25</v>
      </c>
    </row>
    <row r="442" spans="1:24" x14ac:dyDescent="0.35">
      <c r="A442" s="7" t="s">
        <v>15</v>
      </c>
      <c r="B442" s="7" t="s">
        <v>18</v>
      </c>
      <c r="C442" s="6">
        <v>87</v>
      </c>
      <c r="D442" s="5">
        <v>8607.125</v>
      </c>
      <c r="E442" s="5">
        <v>12198.650000000001</v>
      </c>
      <c r="F442" s="5">
        <v>11250</v>
      </c>
      <c r="G442" s="5">
        <v>7683.11</v>
      </c>
      <c r="H442" s="5">
        <v>25189.399999999998</v>
      </c>
      <c r="I442" s="5">
        <v>1250</v>
      </c>
      <c r="J442" s="5">
        <v>8607.125</v>
      </c>
      <c r="K442" s="5">
        <v>12198.650000000001</v>
      </c>
      <c r="L442" s="5">
        <v>11250</v>
      </c>
      <c r="M442" s="5">
        <v>7683.11</v>
      </c>
      <c r="N442" s="5">
        <v>25189.399999999998</v>
      </c>
      <c r="O442" s="5">
        <v>1250</v>
      </c>
      <c r="P442" s="8">
        <v>0.101047</v>
      </c>
      <c r="Q442" s="8">
        <v>6.0831900000000001</v>
      </c>
      <c r="R442" s="8">
        <v>0.78568000000000005</v>
      </c>
      <c r="S442" s="8">
        <f>Tabelle1[[#This Row],[corr_x]]/1000</f>
        <v>8.6071249999999999</v>
      </c>
      <c r="T442" s="8">
        <f>Tabelle1[[#This Row],[corr_y]]/1000</f>
        <v>12.198650000000001</v>
      </c>
      <c r="U442" s="8">
        <f>Tabelle1[[#This Row],[corr_z]]/1000</f>
        <v>11.25</v>
      </c>
      <c r="V442" s="8">
        <f>Tabelle1[[#This Row],[corr_soma_x]]/1000</f>
        <v>7.6831100000000001</v>
      </c>
      <c r="W442" s="8">
        <f>Tabelle1[[#This Row],[corr_soma_y]]/1000</f>
        <v>25.189399999999999</v>
      </c>
      <c r="X442" s="8">
        <f>Tabelle1[[#This Row],[corr_soma_z]]/1000</f>
        <v>1.25</v>
      </c>
    </row>
    <row r="443" spans="1:24" x14ac:dyDescent="0.35">
      <c r="A443" s="7" t="s">
        <v>15</v>
      </c>
      <c r="B443" s="7" t="s">
        <v>18</v>
      </c>
      <c r="C443" s="6">
        <v>88</v>
      </c>
      <c r="D443" s="5">
        <v>9293.43</v>
      </c>
      <c r="E443" s="5">
        <v>11867.6</v>
      </c>
      <c r="F443" s="5">
        <v>11350</v>
      </c>
      <c r="G443" s="5">
        <v>7683.11</v>
      </c>
      <c r="H443" s="5">
        <v>25189.399999999998</v>
      </c>
      <c r="I443" s="5">
        <v>1250</v>
      </c>
      <c r="J443" s="5">
        <v>9293.43</v>
      </c>
      <c r="K443" s="5">
        <v>11867.6</v>
      </c>
      <c r="L443" s="5">
        <v>11350</v>
      </c>
      <c r="M443" s="5">
        <v>7683.11</v>
      </c>
      <c r="N443" s="5">
        <v>25189.399999999998</v>
      </c>
      <c r="O443" s="5">
        <v>1250</v>
      </c>
      <c r="P443" s="8">
        <v>3.53522E-2</v>
      </c>
      <c r="Q443" s="8">
        <v>1.01105</v>
      </c>
      <c r="R443" s="8">
        <v>8.2380700000000001E-2</v>
      </c>
      <c r="S443" s="8">
        <f>Tabelle1[[#This Row],[corr_x]]/1000</f>
        <v>9.2934300000000007</v>
      </c>
      <c r="T443" s="8">
        <f>Tabelle1[[#This Row],[corr_y]]/1000</f>
        <v>11.867599999999999</v>
      </c>
      <c r="U443" s="8">
        <f>Tabelle1[[#This Row],[corr_z]]/1000</f>
        <v>11.35</v>
      </c>
      <c r="V443" s="8">
        <f>Tabelle1[[#This Row],[corr_soma_x]]/1000</f>
        <v>7.6831100000000001</v>
      </c>
      <c r="W443" s="8">
        <f>Tabelle1[[#This Row],[corr_soma_y]]/1000</f>
        <v>25.189399999999999</v>
      </c>
      <c r="X443" s="8">
        <f>Tabelle1[[#This Row],[corr_soma_z]]/1000</f>
        <v>1.25</v>
      </c>
    </row>
    <row r="444" spans="1:24" x14ac:dyDescent="0.35">
      <c r="A444" s="7" t="s">
        <v>15</v>
      </c>
      <c r="B444" s="7" t="s">
        <v>18</v>
      </c>
      <c r="C444" s="6">
        <v>89</v>
      </c>
      <c r="D444" s="5">
        <v>9054.6</v>
      </c>
      <c r="E444" s="5">
        <v>11559.55</v>
      </c>
      <c r="F444" s="5">
        <v>11325</v>
      </c>
      <c r="G444" s="5">
        <v>7683.11</v>
      </c>
      <c r="H444" s="5">
        <v>25189.399999999998</v>
      </c>
      <c r="I444" s="5">
        <v>1250</v>
      </c>
      <c r="J444" s="5">
        <v>9054.6</v>
      </c>
      <c r="K444" s="5">
        <v>11559.55</v>
      </c>
      <c r="L444" s="5">
        <v>11325</v>
      </c>
      <c r="M444" s="5">
        <v>7683.11</v>
      </c>
      <c r="N444" s="5">
        <v>25189.399999999998</v>
      </c>
      <c r="O444" s="5">
        <v>1250</v>
      </c>
      <c r="P444" s="8">
        <v>3.5656100000000003E-2</v>
      </c>
      <c r="Q444" s="8">
        <v>0.75485999999999998</v>
      </c>
      <c r="R444" s="8">
        <v>4.6312199999999998E-2</v>
      </c>
      <c r="S444" s="8">
        <f>Tabelle1[[#This Row],[corr_x]]/1000</f>
        <v>9.0546000000000006</v>
      </c>
      <c r="T444" s="8">
        <f>Tabelle1[[#This Row],[corr_y]]/1000</f>
        <v>11.55955</v>
      </c>
      <c r="U444" s="8">
        <f>Tabelle1[[#This Row],[corr_z]]/1000</f>
        <v>11.324999999999999</v>
      </c>
      <c r="V444" s="8">
        <f>Tabelle1[[#This Row],[corr_soma_x]]/1000</f>
        <v>7.6831100000000001</v>
      </c>
      <c r="W444" s="8">
        <f>Tabelle1[[#This Row],[corr_soma_y]]/1000</f>
        <v>25.189399999999999</v>
      </c>
      <c r="X444" s="8">
        <f>Tabelle1[[#This Row],[corr_soma_z]]/1000</f>
        <v>1.25</v>
      </c>
    </row>
    <row r="445" spans="1:24" x14ac:dyDescent="0.35">
      <c r="A445" s="7" t="s">
        <v>15</v>
      </c>
      <c r="B445" s="7" t="s">
        <v>19</v>
      </c>
      <c r="C445" s="6">
        <v>19</v>
      </c>
      <c r="D445" s="5">
        <v>7919.38</v>
      </c>
      <c r="E445" s="5">
        <v>13263.6</v>
      </c>
      <c r="F445" s="5">
        <v>11300</v>
      </c>
      <c r="G445" s="5">
        <v>7683.11</v>
      </c>
      <c r="H445" s="5">
        <v>25189.399999999998</v>
      </c>
      <c r="I445" s="5">
        <v>1250</v>
      </c>
      <c r="J445" s="5">
        <v>7919.38</v>
      </c>
      <c r="K445" s="5">
        <v>13263.6</v>
      </c>
      <c r="L445" s="5">
        <v>11300</v>
      </c>
      <c r="M445" s="5">
        <v>7683.11</v>
      </c>
      <c r="N445" s="5">
        <v>25189.399999999998</v>
      </c>
      <c r="O445" s="5">
        <v>1250</v>
      </c>
      <c r="P445" s="8">
        <v>5.2698000000000002E-2</v>
      </c>
      <c r="Q445" s="8">
        <v>2.7197</v>
      </c>
      <c r="R445" s="8">
        <v>0.23356199999999999</v>
      </c>
      <c r="S445" s="8">
        <f>Tabelle1[[#This Row],[corr_x]]/1000</f>
        <v>7.9193800000000003</v>
      </c>
      <c r="T445" s="8">
        <f>Tabelle1[[#This Row],[corr_y]]/1000</f>
        <v>13.2636</v>
      </c>
      <c r="U445" s="8">
        <f>Tabelle1[[#This Row],[corr_z]]/1000</f>
        <v>11.3</v>
      </c>
      <c r="V445" s="8">
        <f>Tabelle1[[#This Row],[corr_soma_x]]/1000</f>
        <v>7.6831100000000001</v>
      </c>
      <c r="W445" s="8">
        <f>Tabelle1[[#This Row],[corr_soma_y]]/1000</f>
        <v>25.189399999999999</v>
      </c>
      <c r="X445" s="8">
        <f>Tabelle1[[#This Row],[corr_soma_z]]/1000</f>
        <v>1.25</v>
      </c>
    </row>
    <row r="446" spans="1:24" x14ac:dyDescent="0.35">
      <c r="A446" s="7" t="s">
        <v>15</v>
      </c>
      <c r="B446" s="7" t="s">
        <v>18</v>
      </c>
      <c r="C446" s="6">
        <v>90</v>
      </c>
      <c r="D446" s="5">
        <v>8046.0499999999993</v>
      </c>
      <c r="E446" s="5">
        <v>13628.75</v>
      </c>
      <c r="F446" s="5">
        <v>11475</v>
      </c>
      <c r="G446" s="5">
        <v>7683.11</v>
      </c>
      <c r="H446" s="5">
        <v>25189.399999999998</v>
      </c>
      <c r="I446" s="5">
        <v>1250</v>
      </c>
      <c r="J446" s="5">
        <v>8046.0499999999993</v>
      </c>
      <c r="K446" s="5">
        <v>13628.75</v>
      </c>
      <c r="L446" s="5">
        <v>11475</v>
      </c>
      <c r="M446" s="5">
        <v>7683.11</v>
      </c>
      <c r="N446" s="5">
        <v>25189.399999999998</v>
      </c>
      <c r="O446" s="5">
        <v>1250</v>
      </c>
      <c r="P446" s="8">
        <v>3.5968300000000002E-2</v>
      </c>
      <c r="Q446" s="8">
        <v>0.73241999999999996</v>
      </c>
      <c r="R446" s="8">
        <v>4.6283999999999999E-2</v>
      </c>
      <c r="S446" s="8">
        <f>Tabelle1[[#This Row],[corr_x]]/1000</f>
        <v>8.0460499999999993</v>
      </c>
      <c r="T446" s="8">
        <f>Tabelle1[[#This Row],[corr_y]]/1000</f>
        <v>13.62875</v>
      </c>
      <c r="U446" s="8">
        <f>Tabelle1[[#This Row],[corr_z]]/1000</f>
        <v>11.475</v>
      </c>
      <c r="V446" s="8">
        <f>Tabelle1[[#This Row],[corr_soma_x]]/1000</f>
        <v>7.6831100000000001</v>
      </c>
      <c r="W446" s="8">
        <f>Tabelle1[[#This Row],[corr_soma_y]]/1000</f>
        <v>25.189399999999999</v>
      </c>
      <c r="X446" s="8">
        <f>Tabelle1[[#This Row],[corr_soma_z]]/1000</f>
        <v>1.25</v>
      </c>
    </row>
    <row r="447" spans="1:24" x14ac:dyDescent="0.35">
      <c r="A447" s="7" t="s">
        <v>15</v>
      </c>
      <c r="B447" s="7" t="s">
        <v>18</v>
      </c>
      <c r="C447" s="6">
        <v>91</v>
      </c>
      <c r="D447" s="5">
        <v>7787.12</v>
      </c>
      <c r="E447" s="5">
        <v>13505.2</v>
      </c>
      <c r="F447" s="5">
        <v>11500</v>
      </c>
      <c r="G447" s="5">
        <v>7683.11</v>
      </c>
      <c r="H447" s="5">
        <v>25189.399999999998</v>
      </c>
      <c r="I447" s="5">
        <v>1250</v>
      </c>
      <c r="J447" s="5">
        <v>7787.12</v>
      </c>
      <c r="K447" s="5">
        <v>13505.2</v>
      </c>
      <c r="L447" s="5">
        <v>11500</v>
      </c>
      <c r="M447" s="5">
        <v>7683.11</v>
      </c>
      <c r="N447" s="5">
        <v>25189.399999999998</v>
      </c>
      <c r="O447" s="5">
        <v>1250</v>
      </c>
      <c r="P447" s="8">
        <v>3.2980799999999998E-2</v>
      </c>
      <c r="Q447" s="8">
        <v>0.67445999999999995</v>
      </c>
      <c r="R447" s="8">
        <v>4.6596800000000001E-2</v>
      </c>
      <c r="S447" s="8">
        <f>Tabelle1[[#This Row],[corr_x]]/1000</f>
        <v>7.7871199999999998</v>
      </c>
      <c r="T447" s="8">
        <f>Tabelle1[[#This Row],[corr_y]]/1000</f>
        <v>13.5052</v>
      </c>
      <c r="U447" s="8">
        <f>Tabelle1[[#This Row],[corr_z]]/1000</f>
        <v>11.5</v>
      </c>
      <c r="V447" s="8">
        <f>Tabelle1[[#This Row],[corr_soma_x]]/1000</f>
        <v>7.6831100000000001</v>
      </c>
      <c r="W447" s="8">
        <f>Tabelle1[[#This Row],[corr_soma_y]]/1000</f>
        <v>25.189399999999999</v>
      </c>
      <c r="X447" s="8">
        <f>Tabelle1[[#This Row],[corr_soma_z]]/1000</f>
        <v>1.25</v>
      </c>
    </row>
    <row r="448" spans="1:24" x14ac:dyDescent="0.35">
      <c r="A448" s="7" t="s">
        <v>15</v>
      </c>
      <c r="B448" s="7" t="s">
        <v>18</v>
      </c>
      <c r="C448" s="6">
        <v>92</v>
      </c>
      <c r="D448" s="5">
        <v>8210.239999999998</v>
      </c>
      <c r="E448" s="5">
        <v>13090.1</v>
      </c>
      <c r="F448" s="5">
        <v>11875</v>
      </c>
      <c r="G448" s="5">
        <v>7683.11</v>
      </c>
      <c r="H448" s="5">
        <v>25189.399999999998</v>
      </c>
      <c r="I448" s="5">
        <v>1250</v>
      </c>
      <c r="J448" s="5">
        <v>8210.239999999998</v>
      </c>
      <c r="K448" s="5">
        <v>13090.1</v>
      </c>
      <c r="L448" s="5">
        <v>11875</v>
      </c>
      <c r="M448" s="5">
        <v>7683.11</v>
      </c>
      <c r="N448" s="5">
        <v>25189.399999999998</v>
      </c>
      <c r="O448" s="5">
        <v>1250</v>
      </c>
      <c r="P448" s="8">
        <v>2.36489E-2</v>
      </c>
      <c r="Q448" s="8">
        <v>1.4176500000000001</v>
      </c>
      <c r="R448" s="8">
        <v>8.9741000000000001E-2</v>
      </c>
      <c r="S448" s="8">
        <f>Tabelle1[[#This Row],[corr_x]]/1000</f>
        <v>8.2102399999999971</v>
      </c>
      <c r="T448" s="8">
        <f>Tabelle1[[#This Row],[corr_y]]/1000</f>
        <v>13.0901</v>
      </c>
      <c r="U448" s="8">
        <f>Tabelle1[[#This Row],[corr_z]]/1000</f>
        <v>11.875</v>
      </c>
      <c r="V448" s="8">
        <f>Tabelle1[[#This Row],[corr_soma_x]]/1000</f>
        <v>7.6831100000000001</v>
      </c>
      <c r="W448" s="8">
        <f>Tabelle1[[#This Row],[corr_soma_y]]/1000</f>
        <v>25.189399999999999</v>
      </c>
      <c r="X448" s="8">
        <f>Tabelle1[[#This Row],[corr_soma_z]]/1000</f>
        <v>1.25</v>
      </c>
    </row>
    <row r="449" spans="1:24" x14ac:dyDescent="0.35">
      <c r="A449" s="7" t="s">
        <v>15</v>
      </c>
      <c r="B449" s="7" t="s">
        <v>18</v>
      </c>
      <c r="C449" s="6">
        <v>93</v>
      </c>
      <c r="D449" s="5">
        <v>8944.4</v>
      </c>
      <c r="E449" s="5">
        <v>12368</v>
      </c>
      <c r="F449" s="5">
        <v>11900</v>
      </c>
      <c r="G449" s="5">
        <v>7683.11</v>
      </c>
      <c r="H449" s="5">
        <v>25189.399999999998</v>
      </c>
      <c r="I449" s="5">
        <v>1250</v>
      </c>
      <c r="J449" s="5">
        <v>8944.4</v>
      </c>
      <c r="K449" s="5">
        <v>12368</v>
      </c>
      <c r="L449" s="5">
        <v>11900</v>
      </c>
      <c r="M449" s="5">
        <v>7683.11</v>
      </c>
      <c r="N449" s="5">
        <v>25189.399999999998</v>
      </c>
      <c r="O449" s="5">
        <v>1250</v>
      </c>
      <c r="P449" s="8">
        <v>2.67535E-2</v>
      </c>
      <c r="Q449" s="8">
        <v>0.94818000000000002</v>
      </c>
      <c r="R449" s="8">
        <v>4.7092299999999997E-2</v>
      </c>
      <c r="S449" s="8">
        <f>Tabelle1[[#This Row],[corr_x]]/1000</f>
        <v>8.9443999999999999</v>
      </c>
      <c r="T449" s="8">
        <f>Tabelle1[[#This Row],[corr_y]]/1000</f>
        <v>12.368</v>
      </c>
      <c r="U449" s="8">
        <f>Tabelle1[[#This Row],[corr_z]]/1000</f>
        <v>11.9</v>
      </c>
      <c r="V449" s="8">
        <f>Tabelle1[[#This Row],[corr_soma_x]]/1000</f>
        <v>7.6831100000000001</v>
      </c>
      <c r="W449" s="8">
        <f>Tabelle1[[#This Row],[corr_soma_y]]/1000</f>
        <v>25.189399999999999</v>
      </c>
      <c r="X449" s="8">
        <f>Tabelle1[[#This Row],[corr_soma_z]]/1000</f>
        <v>1.25</v>
      </c>
    </row>
    <row r="450" spans="1:24" x14ac:dyDescent="0.35">
      <c r="A450" s="7" t="s">
        <v>15</v>
      </c>
      <c r="B450" s="7" t="s">
        <v>18</v>
      </c>
      <c r="C450" s="6">
        <v>94</v>
      </c>
      <c r="D450" s="5">
        <v>9869.0700000000015</v>
      </c>
      <c r="E450" s="5">
        <v>10597.000000000002</v>
      </c>
      <c r="F450" s="5">
        <v>12025</v>
      </c>
      <c r="G450" s="5">
        <v>7683.11</v>
      </c>
      <c r="H450" s="5">
        <v>25189.399999999998</v>
      </c>
      <c r="I450" s="5">
        <v>1250</v>
      </c>
      <c r="J450" s="5">
        <v>9869.0700000000015</v>
      </c>
      <c r="K450" s="5">
        <v>10597.000000000002</v>
      </c>
      <c r="L450" s="5">
        <v>12025</v>
      </c>
      <c r="M450" s="5">
        <v>7683.11</v>
      </c>
      <c r="N450" s="5">
        <v>25189.399999999998</v>
      </c>
      <c r="O450" s="5">
        <v>1250</v>
      </c>
      <c r="P450" s="8">
        <v>4.0435800000000001E-2</v>
      </c>
      <c r="Q450" s="8">
        <v>0.68464000000000003</v>
      </c>
      <c r="R450" s="8">
        <v>5.3711799999999997E-2</v>
      </c>
      <c r="S450" s="8">
        <f>Tabelle1[[#This Row],[corr_x]]/1000</f>
        <v>9.8690700000000007</v>
      </c>
      <c r="T450" s="8">
        <f>Tabelle1[[#This Row],[corr_y]]/1000</f>
        <v>10.597000000000001</v>
      </c>
      <c r="U450" s="8">
        <f>Tabelle1[[#This Row],[corr_z]]/1000</f>
        <v>12.025</v>
      </c>
      <c r="V450" s="8">
        <f>Tabelle1[[#This Row],[corr_soma_x]]/1000</f>
        <v>7.6831100000000001</v>
      </c>
      <c r="W450" s="8">
        <f>Tabelle1[[#This Row],[corr_soma_y]]/1000</f>
        <v>25.189399999999999</v>
      </c>
      <c r="X450" s="8">
        <f>Tabelle1[[#This Row],[corr_soma_z]]/1000</f>
        <v>1.25</v>
      </c>
    </row>
    <row r="451" spans="1:24" x14ac:dyDescent="0.35">
      <c r="A451" s="7" t="s">
        <v>15</v>
      </c>
      <c r="B451" s="7" t="s">
        <v>18</v>
      </c>
      <c r="C451" s="6">
        <v>95</v>
      </c>
      <c r="D451" s="5">
        <v>8578.1299999999992</v>
      </c>
      <c r="E451" s="5">
        <v>12489.9</v>
      </c>
      <c r="F451" s="5">
        <v>11950</v>
      </c>
      <c r="G451" s="5">
        <v>7683.11</v>
      </c>
      <c r="H451" s="5">
        <v>25189.399999999998</v>
      </c>
      <c r="I451" s="5">
        <v>1250</v>
      </c>
      <c r="J451" s="5">
        <v>8578.1299999999992</v>
      </c>
      <c r="K451" s="5">
        <v>12489.9</v>
      </c>
      <c r="L451" s="5">
        <v>11950</v>
      </c>
      <c r="M451" s="5">
        <v>7683.11</v>
      </c>
      <c r="N451" s="5">
        <v>25189.399999999998</v>
      </c>
      <c r="O451" s="5">
        <v>1250</v>
      </c>
      <c r="P451" s="8">
        <v>3.2590800000000003E-2</v>
      </c>
      <c r="Q451" s="8">
        <v>0.64012000000000002</v>
      </c>
      <c r="R451" s="8">
        <v>4.4511599999999998E-2</v>
      </c>
      <c r="S451" s="8">
        <f>Tabelle1[[#This Row],[corr_x]]/1000</f>
        <v>8.5781299999999998</v>
      </c>
      <c r="T451" s="8">
        <f>Tabelle1[[#This Row],[corr_y]]/1000</f>
        <v>12.4899</v>
      </c>
      <c r="U451" s="8">
        <f>Tabelle1[[#This Row],[corr_z]]/1000</f>
        <v>11.95</v>
      </c>
      <c r="V451" s="8">
        <f>Tabelle1[[#This Row],[corr_soma_x]]/1000</f>
        <v>7.6831100000000001</v>
      </c>
      <c r="W451" s="8">
        <f>Tabelle1[[#This Row],[corr_soma_y]]/1000</f>
        <v>25.189399999999999</v>
      </c>
      <c r="X451" s="8">
        <f>Tabelle1[[#This Row],[corr_soma_z]]/1000</f>
        <v>1.25</v>
      </c>
    </row>
    <row r="452" spans="1:24" x14ac:dyDescent="0.35">
      <c r="A452" s="7" t="s">
        <v>15</v>
      </c>
      <c r="B452" s="7" t="s">
        <v>18</v>
      </c>
      <c r="C452" s="6">
        <v>96</v>
      </c>
      <c r="D452" s="5">
        <v>9442.3649999999998</v>
      </c>
      <c r="E452" s="5">
        <v>10781.25</v>
      </c>
      <c r="F452" s="5">
        <v>12225</v>
      </c>
      <c r="G452" s="5">
        <v>7683.11</v>
      </c>
      <c r="H452" s="5">
        <v>25189.399999999998</v>
      </c>
      <c r="I452" s="5">
        <v>1250</v>
      </c>
      <c r="J452" s="5">
        <v>9442.3649999999998</v>
      </c>
      <c r="K452" s="5">
        <v>10781.25</v>
      </c>
      <c r="L452" s="5">
        <v>12225</v>
      </c>
      <c r="M452" s="5">
        <v>7683.11</v>
      </c>
      <c r="N452" s="5">
        <v>25189.399999999998</v>
      </c>
      <c r="O452" s="5">
        <v>1250</v>
      </c>
      <c r="P452" s="8">
        <v>6.6818100000000005E-2</v>
      </c>
      <c r="Q452" s="8">
        <v>1.26552</v>
      </c>
      <c r="R452" s="8">
        <v>6.1235499999999998E-2</v>
      </c>
      <c r="S452" s="8">
        <f>Tabelle1[[#This Row],[corr_x]]/1000</f>
        <v>9.4423650000000006</v>
      </c>
      <c r="T452" s="8">
        <f>Tabelle1[[#This Row],[corr_y]]/1000</f>
        <v>10.78125</v>
      </c>
      <c r="U452" s="8">
        <f>Tabelle1[[#This Row],[corr_z]]/1000</f>
        <v>12.225</v>
      </c>
      <c r="V452" s="8">
        <f>Tabelle1[[#This Row],[corr_soma_x]]/1000</f>
        <v>7.6831100000000001</v>
      </c>
      <c r="W452" s="8">
        <f>Tabelle1[[#This Row],[corr_soma_y]]/1000</f>
        <v>25.189399999999999</v>
      </c>
      <c r="X452" s="8">
        <f>Tabelle1[[#This Row],[corr_soma_z]]/1000</f>
        <v>1.25</v>
      </c>
    </row>
    <row r="453" spans="1:24" x14ac:dyDescent="0.35">
      <c r="A453" s="7" t="s">
        <v>15</v>
      </c>
      <c r="B453" s="7" t="s">
        <v>18</v>
      </c>
      <c r="C453" s="6">
        <v>97</v>
      </c>
      <c r="D453" s="5">
        <v>9135.4800000000014</v>
      </c>
      <c r="E453" s="5">
        <v>11165.65</v>
      </c>
      <c r="F453" s="5">
        <v>12125</v>
      </c>
      <c r="G453" s="5">
        <v>7683.11</v>
      </c>
      <c r="H453" s="5">
        <v>25189.399999999998</v>
      </c>
      <c r="I453" s="5">
        <v>1250</v>
      </c>
      <c r="J453" s="5">
        <v>9135.4800000000014</v>
      </c>
      <c r="K453" s="5">
        <v>11165.65</v>
      </c>
      <c r="L453" s="5">
        <v>12125</v>
      </c>
      <c r="M453" s="5">
        <v>7683.11</v>
      </c>
      <c r="N453" s="5">
        <v>25189.399999999998</v>
      </c>
      <c r="O453" s="5">
        <v>1250</v>
      </c>
      <c r="P453" s="8">
        <v>1.7564400000000001E-2</v>
      </c>
      <c r="Q453" s="8">
        <v>0.97269000000000005</v>
      </c>
      <c r="R453" s="8">
        <v>5.2713700000000002E-2</v>
      </c>
      <c r="S453" s="8">
        <f>Tabelle1[[#This Row],[corr_x]]/1000</f>
        <v>9.1354800000000012</v>
      </c>
      <c r="T453" s="8">
        <f>Tabelle1[[#This Row],[corr_y]]/1000</f>
        <v>11.165649999999999</v>
      </c>
      <c r="U453" s="8">
        <f>Tabelle1[[#This Row],[corr_z]]/1000</f>
        <v>12.125</v>
      </c>
      <c r="V453" s="8">
        <f>Tabelle1[[#This Row],[corr_soma_x]]/1000</f>
        <v>7.6831100000000001</v>
      </c>
      <c r="W453" s="8">
        <f>Tabelle1[[#This Row],[corr_soma_y]]/1000</f>
        <v>25.189399999999999</v>
      </c>
      <c r="X453" s="8">
        <f>Tabelle1[[#This Row],[corr_soma_z]]/1000</f>
        <v>1.25</v>
      </c>
    </row>
    <row r="454" spans="1:24" x14ac:dyDescent="0.35">
      <c r="A454" s="7" t="s">
        <v>15</v>
      </c>
      <c r="B454" s="7" t="s">
        <v>18</v>
      </c>
      <c r="C454" s="6">
        <v>98</v>
      </c>
      <c r="D454" s="5">
        <v>9869.2200000000012</v>
      </c>
      <c r="E454" s="5">
        <v>11084.099999999999</v>
      </c>
      <c r="F454" s="5">
        <v>12350</v>
      </c>
      <c r="G454" s="5">
        <v>7683.11</v>
      </c>
      <c r="H454" s="5">
        <v>25189.399999999998</v>
      </c>
      <c r="I454" s="5">
        <v>1250</v>
      </c>
      <c r="J454" s="5">
        <v>9869.2200000000012</v>
      </c>
      <c r="K454" s="5">
        <v>11084.099999999999</v>
      </c>
      <c r="L454" s="5">
        <v>12350</v>
      </c>
      <c r="M454" s="5">
        <v>7683.11</v>
      </c>
      <c r="N454" s="5">
        <v>25189.399999999998</v>
      </c>
      <c r="O454" s="5">
        <v>1250</v>
      </c>
      <c r="P454" s="8">
        <v>2.67751E-2</v>
      </c>
      <c r="Q454" s="8">
        <v>0.54159000000000002</v>
      </c>
      <c r="R454" s="8">
        <v>3.05028E-2</v>
      </c>
      <c r="S454" s="8">
        <f>Tabelle1[[#This Row],[corr_x]]/1000</f>
        <v>9.8692200000000003</v>
      </c>
      <c r="T454" s="8">
        <f>Tabelle1[[#This Row],[corr_y]]/1000</f>
        <v>11.084099999999999</v>
      </c>
      <c r="U454" s="8">
        <f>Tabelle1[[#This Row],[corr_z]]/1000</f>
        <v>12.35</v>
      </c>
      <c r="V454" s="8">
        <f>Tabelle1[[#This Row],[corr_soma_x]]/1000</f>
        <v>7.6831100000000001</v>
      </c>
      <c r="W454" s="8">
        <f>Tabelle1[[#This Row],[corr_soma_y]]/1000</f>
        <v>25.189399999999999</v>
      </c>
      <c r="X454" s="8">
        <f>Tabelle1[[#This Row],[corr_soma_z]]/1000</f>
        <v>1.25</v>
      </c>
    </row>
    <row r="455" spans="1:24" x14ac:dyDescent="0.35">
      <c r="A455" s="7" t="s">
        <v>15</v>
      </c>
      <c r="B455" s="7" t="s">
        <v>18</v>
      </c>
      <c r="C455" s="6">
        <v>99</v>
      </c>
      <c r="D455" s="5">
        <v>8951.9850000000006</v>
      </c>
      <c r="E455" s="5">
        <v>11537.5</v>
      </c>
      <c r="F455" s="5">
        <v>12425</v>
      </c>
      <c r="G455" s="5">
        <v>7683.11</v>
      </c>
      <c r="H455" s="5">
        <v>25189.399999999998</v>
      </c>
      <c r="I455" s="5">
        <v>1250</v>
      </c>
      <c r="J455" s="5">
        <v>8951.9850000000006</v>
      </c>
      <c r="K455" s="5">
        <v>11537.5</v>
      </c>
      <c r="L455" s="5">
        <v>12425</v>
      </c>
      <c r="M455" s="5">
        <v>7683.11</v>
      </c>
      <c r="N455" s="5">
        <v>25189.399999999998</v>
      </c>
      <c r="O455" s="5">
        <v>1250</v>
      </c>
      <c r="P455" s="8">
        <v>5.96871E-2</v>
      </c>
      <c r="Q455" s="8">
        <v>1.3796299999999999</v>
      </c>
      <c r="R455" s="8">
        <v>9.4770599999999997E-2</v>
      </c>
      <c r="S455" s="8">
        <f>Tabelle1[[#This Row],[corr_x]]/1000</f>
        <v>8.9519850000000005</v>
      </c>
      <c r="T455" s="8">
        <f>Tabelle1[[#This Row],[corr_y]]/1000</f>
        <v>11.5375</v>
      </c>
      <c r="U455" s="8">
        <f>Tabelle1[[#This Row],[corr_z]]/1000</f>
        <v>12.425000000000001</v>
      </c>
      <c r="V455" s="8">
        <f>Tabelle1[[#This Row],[corr_soma_x]]/1000</f>
        <v>7.6831100000000001</v>
      </c>
      <c r="W455" s="8">
        <f>Tabelle1[[#This Row],[corr_soma_y]]/1000</f>
        <v>25.189399999999999</v>
      </c>
      <c r="X455" s="8">
        <f>Tabelle1[[#This Row],[corr_soma_z]]/1000</f>
        <v>1.25</v>
      </c>
    </row>
    <row r="456" spans="1:24" x14ac:dyDescent="0.35">
      <c r="A456" s="7" t="s">
        <v>15</v>
      </c>
      <c r="B456" s="7" t="s">
        <v>18</v>
      </c>
      <c r="C456" s="6">
        <v>100</v>
      </c>
      <c r="D456" s="5">
        <v>8972.625</v>
      </c>
      <c r="E456" s="5">
        <v>11906.55</v>
      </c>
      <c r="F456" s="5">
        <v>12375</v>
      </c>
      <c r="G456" s="5">
        <v>7683.11</v>
      </c>
      <c r="H456" s="5">
        <v>25189.399999999998</v>
      </c>
      <c r="I456" s="5">
        <v>1250</v>
      </c>
      <c r="J456" s="5">
        <v>8972.625</v>
      </c>
      <c r="K456" s="5">
        <v>11906.55</v>
      </c>
      <c r="L456" s="5">
        <v>12375</v>
      </c>
      <c r="M456" s="5">
        <v>7683.11</v>
      </c>
      <c r="N456" s="5">
        <v>25189.399999999998</v>
      </c>
      <c r="O456" s="5">
        <v>1250</v>
      </c>
      <c r="P456" s="8">
        <v>1.6426199999999998E-2</v>
      </c>
      <c r="Q456" s="8">
        <v>0.59409000000000001</v>
      </c>
      <c r="R456" s="8">
        <v>3.9912499999999997E-2</v>
      </c>
      <c r="S456" s="8">
        <f>Tabelle1[[#This Row],[corr_x]]/1000</f>
        <v>8.9726250000000007</v>
      </c>
      <c r="T456" s="8">
        <f>Tabelle1[[#This Row],[corr_y]]/1000</f>
        <v>11.906549999999999</v>
      </c>
      <c r="U456" s="8">
        <f>Tabelle1[[#This Row],[corr_z]]/1000</f>
        <v>12.375</v>
      </c>
      <c r="V456" s="8">
        <f>Tabelle1[[#This Row],[corr_soma_x]]/1000</f>
        <v>7.6831100000000001</v>
      </c>
      <c r="W456" s="8">
        <f>Tabelle1[[#This Row],[corr_soma_y]]/1000</f>
        <v>25.189399999999999</v>
      </c>
      <c r="X456" s="8">
        <f>Tabelle1[[#This Row],[corr_soma_z]]/1000</f>
        <v>1.25</v>
      </c>
    </row>
    <row r="457" spans="1:24" x14ac:dyDescent="0.35">
      <c r="A457" s="7" t="s">
        <v>15</v>
      </c>
      <c r="B457" s="7" t="s">
        <v>18</v>
      </c>
      <c r="C457" s="6">
        <v>101</v>
      </c>
      <c r="D457" s="5">
        <v>10245.1</v>
      </c>
      <c r="E457" s="5">
        <v>10611.1</v>
      </c>
      <c r="F457" s="5">
        <v>12700</v>
      </c>
      <c r="G457" s="5">
        <v>7683.11</v>
      </c>
      <c r="H457" s="5">
        <v>25189.399999999998</v>
      </c>
      <c r="I457" s="5">
        <v>1250</v>
      </c>
      <c r="J457" s="5">
        <v>10245.1</v>
      </c>
      <c r="K457" s="5">
        <v>10611.1</v>
      </c>
      <c r="L457" s="5">
        <v>12700</v>
      </c>
      <c r="M457" s="5">
        <v>7683.11</v>
      </c>
      <c r="N457" s="5">
        <v>25189.399999999998</v>
      </c>
      <c r="O457" s="5">
        <v>1250</v>
      </c>
      <c r="P457" s="8">
        <v>2.8767999999999998E-2</v>
      </c>
      <c r="Q457" s="8">
        <v>1.2646500000000001</v>
      </c>
      <c r="R457" s="8">
        <v>6.7089099999999999E-2</v>
      </c>
      <c r="S457" s="8">
        <f>Tabelle1[[#This Row],[corr_x]]/1000</f>
        <v>10.245100000000001</v>
      </c>
      <c r="T457" s="8">
        <f>Tabelle1[[#This Row],[corr_y]]/1000</f>
        <v>10.6111</v>
      </c>
      <c r="U457" s="8">
        <f>Tabelle1[[#This Row],[corr_z]]/1000</f>
        <v>12.7</v>
      </c>
      <c r="V457" s="8">
        <f>Tabelle1[[#This Row],[corr_soma_x]]/1000</f>
        <v>7.6831100000000001</v>
      </c>
      <c r="W457" s="8">
        <f>Tabelle1[[#This Row],[corr_soma_y]]/1000</f>
        <v>25.189399999999999</v>
      </c>
      <c r="X457" s="8">
        <f>Tabelle1[[#This Row],[corr_soma_z]]/1000</f>
        <v>1.25</v>
      </c>
    </row>
    <row r="458" spans="1:24" x14ac:dyDescent="0.35">
      <c r="A458" s="7" t="s">
        <v>15</v>
      </c>
      <c r="B458" s="7" t="s">
        <v>18</v>
      </c>
      <c r="C458" s="6">
        <v>102</v>
      </c>
      <c r="D458" s="5">
        <v>9079.505000000001</v>
      </c>
      <c r="E458" s="5">
        <v>11328.6</v>
      </c>
      <c r="F458" s="5">
        <v>12725</v>
      </c>
      <c r="G458" s="5">
        <v>7683.11</v>
      </c>
      <c r="H458" s="5">
        <v>25189.399999999998</v>
      </c>
      <c r="I458" s="5">
        <v>1250</v>
      </c>
      <c r="J458" s="5">
        <v>9079.505000000001</v>
      </c>
      <c r="K458" s="5">
        <v>11328.6</v>
      </c>
      <c r="L458" s="5">
        <v>12725</v>
      </c>
      <c r="M458" s="5">
        <v>7683.11</v>
      </c>
      <c r="N458" s="5">
        <v>25189.399999999998</v>
      </c>
      <c r="O458" s="5">
        <v>1250</v>
      </c>
      <c r="P458" s="8">
        <v>3.5375499999999997E-2</v>
      </c>
      <c r="Q458" s="8">
        <v>1.3698999999999999</v>
      </c>
      <c r="R458" s="8">
        <v>9.3729300000000002E-2</v>
      </c>
      <c r="S458" s="8">
        <f>Tabelle1[[#This Row],[corr_x]]/1000</f>
        <v>9.079505000000001</v>
      </c>
      <c r="T458" s="8">
        <f>Tabelle1[[#This Row],[corr_y]]/1000</f>
        <v>11.3286</v>
      </c>
      <c r="U458" s="8">
        <f>Tabelle1[[#This Row],[corr_z]]/1000</f>
        <v>12.725</v>
      </c>
      <c r="V458" s="8">
        <f>Tabelle1[[#This Row],[corr_soma_x]]/1000</f>
        <v>7.6831100000000001</v>
      </c>
      <c r="W458" s="8">
        <f>Tabelle1[[#This Row],[corr_soma_y]]/1000</f>
        <v>25.189399999999999</v>
      </c>
      <c r="X458" s="8">
        <f>Tabelle1[[#This Row],[corr_soma_z]]/1000</f>
        <v>1.25</v>
      </c>
    </row>
    <row r="459" spans="1:24" x14ac:dyDescent="0.35">
      <c r="A459" s="7" t="s">
        <v>15</v>
      </c>
      <c r="B459" s="7" t="s">
        <v>18</v>
      </c>
      <c r="C459" s="6">
        <v>103</v>
      </c>
      <c r="D459" s="5">
        <v>9422.4700000000012</v>
      </c>
      <c r="E459" s="5">
        <v>11474.65</v>
      </c>
      <c r="F459" s="5">
        <v>12675</v>
      </c>
      <c r="G459" s="5">
        <v>7683.11</v>
      </c>
      <c r="H459" s="5">
        <v>25189.399999999998</v>
      </c>
      <c r="I459" s="5">
        <v>1250</v>
      </c>
      <c r="J459" s="5">
        <v>9422.4700000000012</v>
      </c>
      <c r="K459" s="5">
        <v>11474.65</v>
      </c>
      <c r="L459" s="5">
        <v>12675</v>
      </c>
      <c r="M459" s="5">
        <v>7683.11</v>
      </c>
      <c r="N459" s="5">
        <v>25189.399999999998</v>
      </c>
      <c r="O459" s="5">
        <v>1250</v>
      </c>
      <c r="P459" s="8">
        <v>3.3846300000000003E-2</v>
      </c>
      <c r="Q459" s="8">
        <v>1.39673</v>
      </c>
      <c r="R459" s="8">
        <v>0.159663</v>
      </c>
      <c r="S459" s="8">
        <f>Tabelle1[[#This Row],[corr_x]]/1000</f>
        <v>9.4224700000000006</v>
      </c>
      <c r="T459" s="8">
        <f>Tabelle1[[#This Row],[corr_y]]/1000</f>
        <v>11.47465</v>
      </c>
      <c r="U459" s="8">
        <f>Tabelle1[[#This Row],[corr_z]]/1000</f>
        <v>12.675000000000001</v>
      </c>
      <c r="V459" s="8">
        <f>Tabelle1[[#This Row],[corr_soma_x]]/1000</f>
        <v>7.6831100000000001</v>
      </c>
      <c r="W459" s="8">
        <f>Tabelle1[[#This Row],[corr_soma_y]]/1000</f>
        <v>25.189399999999999</v>
      </c>
      <c r="X459" s="8">
        <f>Tabelle1[[#This Row],[corr_soma_z]]/1000</f>
        <v>1.25</v>
      </c>
    </row>
    <row r="460" spans="1:24" x14ac:dyDescent="0.35">
      <c r="A460" s="7" t="s">
        <v>15</v>
      </c>
      <c r="B460" s="7" t="s">
        <v>18</v>
      </c>
      <c r="C460" s="6">
        <v>104</v>
      </c>
      <c r="D460" s="5">
        <v>9639.5650000000005</v>
      </c>
      <c r="E460" s="5">
        <v>11322.75</v>
      </c>
      <c r="F460" s="5">
        <v>12725</v>
      </c>
      <c r="G460" s="5">
        <v>7683.11</v>
      </c>
      <c r="H460" s="5">
        <v>25189.399999999998</v>
      </c>
      <c r="I460" s="5">
        <v>1250</v>
      </c>
      <c r="J460" s="5">
        <v>9639.5650000000005</v>
      </c>
      <c r="K460" s="5">
        <v>11322.75</v>
      </c>
      <c r="L460" s="5">
        <v>12725</v>
      </c>
      <c r="M460" s="5">
        <v>7683.11</v>
      </c>
      <c r="N460" s="5">
        <v>25189.399999999998</v>
      </c>
      <c r="O460" s="5">
        <v>1250</v>
      </c>
      <c r="P460" s="8">
        <v>1.55272E-2</v>
      </c>
      <c r="Q460" s="8">
        <v>0.70718000000000003</v>
      </c>
      <c r="R460" s="8">
        <v>4.2164600000000003E-2</v>
      </c>
      <c r="S460" s="8">
        <f>Tabelle1[[#This Row],[corr_x]]/1000</f>
        <v>9.639565000000001</v>
      </c>
      <c r="T460" s="8">
        <f>Tabelle1[[#This Row],[corr_y]]/1000</f>
        <v>11.322749999999999</v>
      </c>
      <c r="U460" s="8">
        <f>Tabelle1[[#This Row],[corr_z]]/1000</f>
        <v>12.725</v>
      </c>
      <c r="V460" s="8">
        <f>Tabelle1[[#This Row],[corr_soma_x]]/1000</f>
        <v>7.6831100000000001</v>
      </c>
      <c r="W460" s="8">
        <f>Tabelle1[[#This Row],[corr_soma_y]]/1000</f>
        <v>25.189399999999999</v>
      </c>
      <c r="X460" s="8">
        <f>Tabelle1[[#This Row],[corr_soma_z]]/1000</f>
        <v>1.25</v>
      </c>
    </row>
    <row r="461" spans="1:24" x14ac:dyDescent="0.35">
      <c r="A461" s="7" t="s">
        <v>15</v>
      </c>
      <c r="B461" s="7" t="s">
        <v>18</v>
      </c>
      <c r="C461" s="6">
        <v>105</v>
      </c>
      <c r="D461" s="5">
        <v>10386.699999999999</v>
      </c>
      <c r="E461" s="5">
        <v>10169.9</v>
      </c>
      <c r="F461" s="5">
        <v>12800</v>
      </c>
      <c r="G461" s="5">
        <v>7683.11</v>
      </c>
      <c r="H461" s="5">
        <v>25189.399999999998</v>
      </c>
      <c r="I461" s="5">
        <v>1250</v>
      </c>
      <c r="J461" s="5">
        <v>10386.699999999999</v>
      </c>
      <c r="K461" s="5">
        <v>10169.9</v>
      </c>
      <c r="L461" s="5">
        <v>12800</v>
      </c>
      <c r="M461" s="5">
        <v>7683.11</v>
      </c>
      <c r="N461" s="5">
        <v>25189.399999999998</v>
      </c>
      <c r="O461" s="5">
        <v>1250</v>
      </c>
      <c r="P461" s="8">
        <v>6.0539099999999998E-2</v>
      </c>
      <c r="Q461" s="8">
        <v>1.1694</v>
      </c>
      <c r="R461" s="8">
        <v>8.8397299999999998E-2</v>
      </c>
      <c r="S461" s="8">
        <f>Tabelle1[[#This Row],[corr_x]]/1000</f>
        <v>10.386699999999999</v>
      </c>
      <c r="T461" s="8">
        <f>Tabelle1[[#This Row],[corr_y]]/1000</f>
        <v>10.1699</v>
      </c>
      <c r="U461" s="8">
        <f>Tabelle1[[#This Row],[corr_z]]/1000</f>
        <v>12.8</v>
      </c>
      <c r="V461" s="8">
        <f>Tabelle1[[#This Row],[corr_soma_x]]/1000</f>
        <v>7.6831100000000001</v>
      </c>
      <c r="W461" s="8">
        <f>Tabelle1[[#This Row],[corr_soma_y]]/1000</f>
        <v>25.189399999999999</v>
      </c>
      <c r="X461" s="8">
        <f>Tabelle1[[#This Row],[corr_soma_z]]/1000</f>
        <v>1.25</v>
      </c>
    </row>
    <row r="462" spans="1:24" x14ac:dyDescent="0.35">
      <c r="A462" s="7" t="s">
        <v>15</v>
      </c>
      <c r="B462" s="7" t="s">
        <v>18</v>
      </c>
      <c r="C462" s="6">
        <v>106</v>
      </c>
      <c r="D462" s="5">
        <v>10540</v>
      </c>
      <c r="E462" s="5">
        <v>10470.800000000001</v>
      </c>
      <c r="F462" s="5">
        <v>12950</v>
      </c>
      <c r="G462" s="5">
        <v>7683.11</v>
      </c>
      <c r="H462" s="5">
        <v>25189.399999999998</v>
      </c>
      <c r="I462" s="5">
        <v>1250</v>
      </c>
      <c r="J462" s="5">
        <v>10540</v>
      </c>
      <c r="K462" s="5">
        <v>10470.800000000001</v>
      </c>
      <c r="L462" s="5">
        <v>12950</v>
      </c>
      <c r="M462" s="5">
        <v>7683.11</v>
      </c>
      <c r="N462" s="5">
        <v>25189.399999999998</v>
      </c>
      <c r="O462" s="5">
        <v>1250</v>
      </c>
      <c r="P462" s="8">
        <v>4.07934E-2</v>
      </c>
      <c r="Q462" s="8">
        <v>1.5440100000000001</v>
      </c>
      <c r="R462" s="8">
        <v>8.3574700000000002E-2</v>
      </c>
      <c r="S462" s="8">
        <f>Tabelle1[[#This Row],[corr_x]]/1000</f>
        <v>10.54</v>
      </c>
      <c r="T462" s="8">
        <f>Tabelle1[[#This Row],[corr_y]]/1000</f>
        <v>10.470800000000001</v>
      </c>
      <c r="U462" s="8">
        <f>Tabelle1[[#This Row],[corr_z]]/1000</f>
        <v>12.95</v>
      </c>
      <c r="V462" s="8">
        <f>Tabelle1[[#This Row],[corr_soma_x]]/1000</f>
        <v>7.6831100000000001</v>
      </c>
      <c r="W462" s="8">
        <f>Tabelle1[[#This Row],[corr_soma_y]]/1000</f>
        <v>25.189399999999999</v>
      </c>
      <c r="X462" s="8">
        <f>Tabelle1[[#This Row],[corr_soma_z]]/1000</f>
        <v>1.25</v>
      </c>
    </row>
    <row r="463" spans="1:24" x14ac:dyDescent="0.35">
      <c r="A463" s="7" t="s">
        <v>15</v>
      </c>
      <c r="B463" s="7" t="s">
        <v>19</v>
      </c>
      <c r="C463" s="6">
        <v>20</v>
      </c>
      <c r="D463" s="5">
        <v>10743</v>
      </c>
      <c r="E463" s="5">
        <v>10013.299999999999</v>
      </c>
      <c r="F463" s="5">
        <v>13100</v>
      </c>
      <c r="G463" s="5">
        <v>7683.11</v>
      </c>
      <c r="H463" s="5">
        <v>25189.399999999998</v>
      </c>
      <c r="I463" s="5">
        <v>1250</v>
      </c>
      <c r="J463" s="5">
        <v>10743</v>
      </c>
      <c r="K463" s="5">
        <v>10013.299999999999</v>
      </c>
      <c r="L463" s="5">
        <v>13100</v>
      </c>
      <c r="M463" s="5">
        <v>7683.11</v>
      </c>
      <c r="N463" s="5">
        <v>25189.399999999998</v>
      </c>
      <c r="O463" s="5">
        <v>1250</v>
      </c>
      <c r="P463" s="8">
        <v>6.2781900000000002E-2</v>
      </c>
      <c r="Q463" s="8">
        <v>1.1523399999999999</v>
      </c>
      <c r="R463" s="8">
        <v>5.1804799999999998E-2</v>
      </c>
      <c r="S463" s="8">
        <f>Tabelle1[[#This Row],[corr_x]]/1000</f>
        <v>10.743</v>
      </c>
      <c r="T463" s="8">
        <f>Tabelle1[[#This Row],[corr_y]]/1000</f>
        <v>10.013299999999999</v>
      </c>
      <c r="U463" s="8">
        <f>Tabelle1[[#This Row],[corr_z]]/1000</f>
        <v>13.1</v>
      </c>
      <c r="V463" s="8">
        <f>Tabelle1[[#This Row],[corr_soma_x]]/1000</f>
        <v>7.6831100000000001</v>
      </c>
      <c r="W463" s="8">
        <f>Tabelle1[[#This Row],[corr_soma_y]]/1000</f>
        <v>25.189399999999999</v>
      </c>
      <c r="X463" s="8">
        <f>Tabelle1[[#This Row],[corr_soma_z]]/1000</f>
        <v>1.25</v>
      </c>
    </row>
    <row r="464" spans="1:24" x14ac:dyDescent="0.35">
      <c r="A464" s="7" t="s">
        <v>15</v>
      </c>
      <c r="B464" s="7" t="s">
        <v>18</v>
      </c>
      <c r="C464" s="6">
        <v>107</v>
      </c>
      <c r="D464" s="5">
        <v>11982.949999999999</v>
      </c>
      <c r="E464" s="5">
        <v>10040.35</v>
      </c>
      <c r="F464" s="5">
        <v>13425</v>
      </c>
      <c r="G464" s="5">
        <v>7683.11</v>
      </c>
      <c r="H464" s="5">
        <v>25189.399999999998</v>
      </c>
      <c r="I464" s="5">
        <v>1250</v>
      </c>
      <c r="J464" s="5">
        <v>11982.949999999999</v>
      </c>
      <c r="K464" s="5">
        <v>10040.35</v>
      </c>
      <c r="L464" s="5">
        <v>13425</v>
      </c>
      <c r="M464" s="5">
        <v>7683.11</v>
      </c>
      <c r="N464" s="5">
        <v>25189.399999999998</v>
      </c>
      <c r="O464" s="5">
        <v>1250</v>
      </c>
      <c r="P464" s="8">
        <v>6.1207900000000003E-2</v>
      </c>
      <c r="Q464" s="8">
        <v>1.0279799999999999</v>
      </c>
      <c r="R464" s="8">
        <v>6.1982200000000001E-2</v>
      </c>
      <c r="S464" s="8">
        <f>Tabelle1[[#This Row],[corr_x]]/1000</f>
        <v>11.982949999999999</v>
      </c>
      <c r="T464" s="8">
        <f>Tabelle1[[#This Row],[corr_y]]/1000</f>
        <v>10.04035</v>
      </c>
      <c r="U464" s="8">
        <f>Tabelle1[[#This Row],[corr_z]]/1000</f>
        <v>13.425000000000001</v>
      </c>
      <c r="V464" s="8">
        <f>Tabelle1[[#This Row],[corr_soma_x]]/1000</f>
        <v>7.6831100000000001</v>
      </c>
      <c r="W464" s="8">
        <f>Tabelle1[[#This Row],[corr_soma_y]]/1000</f>
        <v>25.189399999999999</v>
      </c>
      <c r="X464" s="8">
        <f>Tabelle1[[#This Row],[corr_soma_z]]/1000</f>
        <v>1.25</v>
      </c>
    </row>
    <row r="465" spans="1:24" x14ac:dyDescent="0.35">
      <c r="A465" s="7" t="s">
        <v>15</v>
      </c>
      <c r="B465" s="7" t="s">
        <v>18</v>
      </c>
      <c r="C465" s="6">
        <v>108</v>
      </c>
      <c r="D465" s="5">
        <v>11610.900000000001</v>
      </c>
      <c r="E465" s="5">
        <v>10200.900000000001</v>
      </c>
      <c r="F465" s="5">
        <v>13350</v>
      </c>
      <c r="G465" s="5">
        <v>7683.11</v>
      </c>
      <c r="H465" s="5">
        <v>25189.399999999998</v>
      </c>
      <c r="I465" s="5">
        <v>1250</v>
      </c>
      <c r="J465" s="5">
        <v>11610.900000000001</v>
      </c>
      <c r="K465" s="5">
        <v>10200.900000000001</v>
      </c>
      <c r="L465" s="5">
        <v>13350</v>
      </c>
      <c r="M465" s="5">
        <v>7683.11</v>
      </c>
      <c r="N465" s="5">
        <v>25189.399999999998</v>
      </c>
      <c r="O465" s="5">
        <v>1250</v>
      </c>
      <c r="P465" s="8">
        <v>6.4480499999999996E-2</v>
      </c>
      <c r="Q465" s="8">
        <v>1.42032</v>
      </c>
      <c r="R465" s="8">
        <v>8.5722300000000001E-2</v>
      </c>
      <c r="S465" s="8">
        <f>Tabelle1[[#This Row],[corr_x]]/1000</f>
        <v>11.610900000000001</v>
      </c>
      <c r="T465" s="8">
        <f>Tabelle1[[#This Row],[corr_y]]/1000</f>
        <v>10.200900000000001</v>
      </c>
      <c r="U465" s="8">
        <f>Tabelle1[[#This Row],[corr_z]]/1000</f>
        <v>13.35</v>
      </c>
      <c r="V465" s="8">
        <f>Tabelle1[[#This Row],[corr_soma_x]]/1000</f>
        <v>7.6831100000000001</v>
      </c>
      <c r="W465" s="8">
        <f>Tabelle1[[#This Row],[corr_soma_y]]/1000</f>
        <v>25.189399999999999</v>
      </c>
      <c r="X465" s="8">
        <f>Tabelle1[[#This Row],[corr_soma_z]]/1000</f>
        <v>1.25</v>
      </c>
    </row>
    <row r="466" spans="1:24" x14ac:dyDescent="0.35">
      <c r="A466" s="7" t="s">
        <v>15</v>
      </c>
      <c r="B466" s="7" t="s">
        <v>18</v>
      </c>
      <c r="C466" s="6">
        <v>109</v>
      </c>
      <c r="D466" s="5">
        <v>13049.099999999999</v>
      </c>
      <c r="E466" s="5">
        <v>9780.7999999999993</v>
      </c>
      <c r="F466" s="5">
        <v>13450</v>
      </c>
      <c r="G466" s="5">
        <v>7683.11</v>
      </c>
      <c r="H466" s="5">
        <v>25189.399999999998</v>
      </c>
      <c r="I466" s="5">
        <v>1250</v>
      </c>
      <c r="J466" s="5">
        <v>13049.099999999999</v>
      </c>
      <c r="K466" s="5">
        <v>9780.7999999999993</v>
      </c>
      <c r="L466" s="5">
        <v>13450</v>
      </c>
      <c r="M466" s="5">
        <v>7683.11</v>
      </c>
      <c r="N466" s="5">
        <v>25189.399999999998</v>
      </c>
      <c r="O466" s="5">
        <v>1250</v>
      </c>
      <c r="P466" s="8">
        <v>4.9263300000000003E-2</v>
      </c>
      <c r="Q466" s="8">
        <v>1.5709500000000001</v>
      </c>
      <c r="R466" s="8">
        <v>8.7662000000000004E-2</v>
      </c>
      <c r="S466" s="8">
        <f>Tabelle1[[#This Row],[corr_x]]/1000</f>
        <v>13.049099999999999</v>
      </c>
      <c r="T466" s="8">
        <f>Tabelle1[[#This Row],[corr_y]]/1000</f>
        <v>9.7807999999999993</v>
      </c>
      <c r="U466" s="8">
        <f>Tabelle1[[#This Row],[corr_z]]/1000</f>
        <v>13.45</v>
      </c>
      <c r="V466" s="8">
        <f>Tabelle1[[#This Row],[corr_soma_x]]/1000</f>
        <v>7.6831100000000001</v>
      </c>
      <c r="W466" s="8">
        <f>Tabelle1[[#This Row],[corr_soma_y]]/1000</f>
        <v>25.189399999999999</v>
      </c>
      <c r="X466" s="8">
        <f>Tabelle1[[#This Row],[corr_soma_z]]/1000</f>
        <v>1.25</v>
      </c>
    </row>
    <row r="467" spans="1:24" x14ac:dyDescent="0.35">
      <c r="A467" s="7" t="s">
        <v>15</v>
      </c>
      <c r="B467" s="7" t="s">
        <v>18</v>
      </c>
      <c r="C467" s="6">
        <v>110</v>
      </c>
      <c r="D467" s="5">
        <v>13311</v>
      </c>
      <c r="E467" s="5">
        <v>9381.6850000000013</v>
      </c>
      <c r="F467" s="5">
        <v>13425</v>
      </c>
      <c r="G467" s="5">
        <v>7683.11</v>
      </c>
      <c r="H467" s="5">
        <v>25189.399999999998</v>
      </c>
      <c r="I467" s="5">
        <v>1250</v>
      </c>
      <c r="J467" s="5">
        <v>13311</v>
      </c>
      <c r="K467" s="5">
        <v>9381.6850000000013</v>
      </c>
      <c r="L467" s="5">
        <v>13425</v>
      </c>
      <c r="M467" s="5">
        <v>7683.11</v>
      </c>
      <c r="N467" s="5">
        <v>25189.399999999998</v>
      </c>
      <c r="O467" s="5">
        <v>1250</v>
      </c>
      <c r="P467" s="8">
        <v>4.4506200000000003E-2</v>
      </c>
      <c r="Q467" s="8">
        <v>0.70953999999999995</v>
      </c>
      <c r="R467" s="8">
        <v>3.9125899999999998E-2</v>
      </c>
      <c r="S467" s="8">
        <f>Tabelle1[[#This Row],[corr_x]]/1000</f>
        <v>13.311</v>
      </c>
      <c r="T467" s="8">
        <f>Tabelle1[[#This Row],[corr_y]]/1000</f>
        <v>9.3816850000000009</v>
      </c>
      <c r="U467" s="8">
        <f>Tabelle1[[#This Row],[corr_z]]/1000</f>
        <v>13.425000000000001</v>
      </c>
      <c r="V467" s="8">
        <f>Tabelle1[[#This Row],[corr_soma_x]]/1000</f>
        <v>7.6831100000000001</v>
      </c>
      <c r="W467" s="8">
        <f>Tabelle1[[#This Row],[corr_soma_y]]/1000</f>
        <v>25.189399999999999</v>
      </c>
      <c r="X467" s="8">
        <f>Tabelle1[[#This Row],[corr_soma_z]]/1000</f>
        <v>1.25</v>
      </c>
    </row>
    <row r="468" spans="1:24" x14ac:dyDescent="0.35">
      <c r="A468" s="7" t="s">
        <v>15</v>
      </c>
      <c r="B468" s="7" t="s">
        <v>18</v>
      </c>
      <c r="C468" s="6">
        <v>111</v>
      </c>
      <c r="D468" s="5">
        <v>13930.85</v>
      </c>
      <c r="E468" s="5">
        <v>9506.0349999999999</v>
      </c>
      <c r="F468" s="5">
        <v>13725</v>
      </c>
      <c r="G468" s="5">
        <v>7683.11</v>
      </c>
      <c r="H468" s="5">
        <v>25189.399999999998</v>
      </c>
      <c r="I468" s="5">
        <v>1250</v>
      </c>
      <c r="J468" s="5">
        <v>13930.85</v>
      </c>
      <c r="K468" s="5">
        <v>9506.0349999999999</v>
      </c>
      <c r="L468" s="5">
        <v>13725</v>
      </c>
      <c r="M468" s="5">
        <v>7683.11</v>
      </c>
      <c r="N468" s="5">
        <v>25189.399999999998</v>
      </c>
      <c r="O468" s="5">
        <v>1250</v>
      </c>
      <c r="P468" s="8">
        <v>9.0671199999999993E-2</v>
      </c>
      <c r="Q468" s="8">
        <v>1.46746</v>
      </c>
      <c r="R468" s="8">
        <v>8.7253200000000003E-2</v>
      </c>
      <c r="S468" s="8">
        <f>Tabelle1[[#This Row],[corr_x]]/1000</f>
        <v>13.93085</v>
      </c>
      <c r="T468" s="8">
        <f>Tabelle1[[#This Row],[corr_y]]/1000</f>
        <v>9.5060350000000007</v>
      </c>
      <c r="U468" s="8">
        <f>Tabelle1[[#This Row],[corr_z]]/1000</f>
        <v>13.725</v>
      </c>
      <c r="V468" s="8">
        <f>Tabelle1[[#This Row],[corr_soma_x]]/1000</f>
        <v>7.6831100000000001</v>
      </c>
      <c r="W468" s="8">
        <f>Tabelle1[[#This Row],[corr_soma_y]]/1000</f>
        <v>25.189399999999999</v>
      </c>
      <c r="X468" s="8">
        <f>Tabelle1[[#This Row],[corr_soma_z]]/1000</f>
        <v>1.25</v>
      </c>
    </row>
    <row r="469" spans="1:24" x14ac:dyDescent="0.35">
      <c r="A469" s="7" t="s">
        <v>15</v>
      </c>
      <c r="B469" s="7" t="s">
        <v>19</v>
      </c>
      <c r="C469" s="6">
        <v>21</v>
      </c>
      <c r="D469" s="5">
        <v>12245.750000000002</v>
      </c>
      <c r="E469" s="5">
        <v>9761.2000000000007</v>
      </c>
      <c r="F469" s="5">
        <v>13875</v>
      </c>
      <c r="G469" s="5">
        <v>7683.11</v>
      </c>
      <c r="H469" s="5">
        <v>25189.399999999998</v>
      </c>
      <c r="I469" s="5">
        <v>1250</v>
      </c>
      <c r="J469" s="5">
        <v>12245.750000000002</v>
      </c>
      <c r="K469" s="5">
        <v>9761.2000000000007</v>
      </c>
      <c r="L469" s="5">
        <v>13875</v>
      </c>
      <c r="M469" s="5">
        <v>7683.11</v>
      </c>
      <c r="N469" s="5">
        <v>25189.399999999998</v>
      </c>
      <c r="O469" s="5">
        <v>1250</v>
      </c>
      <c r="P469" s="8">
        <v>2.5008099999999998E-2</v>
      </c>
      <c r="Q469" s="8">
        <v>3.3145500000000001</v>
      </c>
      <c r="R469" s="8">
        <v>0.28337099999999998</v>
      </c>
      <c r="S469" s="8">
        <f>Tabelle1[[#This Row],[corr_x]]/1000</f>
        <v>12.245750000000001</v>
      </c>
      <c r="T469" s="8">
        <f>Tabelle1[[#This Row],[corr_y]]/1000</f>
        <v>9.7612000000000005</v>
      </c>
      <c r="U469" s="8">
        <f>Tabelle1[[#This Row],[corr_z]]/1000</f>
        <v>13.875</v>
      </c>
      <c r="V469" s="8">
        <f>Tabelle1[[#This Row],[corr_soma_x]]/1000</f>
        <v>7.6831100000000001</v>
      </c>
      <c r="W469" s="8">
        <f>Tabelle1[[#This Row],[corr_soma_y]]/1000</f>
        <v>25.189399999999999</v>
      </c>
      <c r="X469" s="8">
        <f>Tabelle1[[#This Row],[corr_soma_z]]/1000</f>
        <v>1.25</v>
      </c>
    </row>
    <row r="470" spans="1:24" x14ac:dyDescent="0.35">
      <c r="A470" s="7" t="s">
        <v>15</v>
      </c>
      <c r="B470" s="7" t="s">
        <v>19</v>
      </c>
      <c r="C470" s="6">
        <v>22</v>
      </c>
      <c r="D470" s="5">
        <v>14101.1</v>
      </c>
      <c r="E470" s="5">
        <v>9100.74</v>
      </c>
      <c r="F470" s="5">
        <v>13800</v>
      </c>
      <c r="G470" s="5">
        <v>7683.11</v>
      </c>
      <c r="H470" s="5">
        <v>25189.399999999998</v>
      </c>
      <c r="I470" s="5">
        <v>1250</v>
      </c>
      <c r="J470" s="5">
        <v>14101.1</v>
      </c>
      <c r="K470" s="5">
        <v>9100.74</v>
      </c>
      <c r="L470" s="5">
        <v>13800</v>
      </c>
      <c r="M470" s="5">
        <v>7683.11</v>
      </c>
      <c r="N470" s="5">
        <v>25189.399999999998</v>
      </c>
      <c r="O470" s="5">
        <v>1250</v>
      </c>
      <c r="P470" s="8">
        <v>2.2526999999999998E-2</v>
      </c>
      <c r="Q470" s="8">
        <v>1.8447899999999999</v>
      </c>
      <c r="R470" s="8">
        <v>0.137762</v>
      </c>
      <c r="S470" s="8">
        <f>Tabelle1[[#This Row],[corr_x]]/1000</f>
        <v>14.101100000000001</v>
      </c>
      <c r="T470" s="8">
        <f>Tabelle1[[#This Row],[corr_y]]/1000</f>
        <v>9.1007400000000001</v>
      </c>
      <c r="U470" s="8">
        <f>Tabelle1[[#This Row],[corr_z]]/1000</f>
        <v>13.8</v>
      </c>
      <c r="V470" s="8">
        <f>Tabelle1[[#This Row],[corr_soma_x]]/1000</f>
        <v>7.6831100000000001</v>
      </c>
      <c r="W470" s="8">
        <f>Tabelle1[[#This Row],[corr_soma_y]]/1000</f>
        <v>25.189399999999999</v>
      </c>
      <c r="X470" s="8">
        <f>Tabelle1[[#This Row],[corr_soma_z]]/1000</f>
        <v>1.25</v>
      </c>
    </row>
    <row r="471" spans="1:24" x14ac:dyDescent="0.35">
      <c r="A471" s="7" t="s">
        <v>15</v>
      </c>
      <c r="B471" s="7" t="s">
        <v>19</v>
      </c>
      <c r="C471" s="6">
        <v>23</v>
      </c>
      <c r="D471" s="5">
        <v>14230.9</v>
      </c>
      <c r="E471" s="5">
        <v>9383.67</v>
      </c>
      <c r="F471" s="5">
        <v>13550</v>
      </c>
      <c r="G471" s="5">
        <v>7683.11</v>
      </c>
      <c r="H471" s="5">
        <v>25189.399999999998</v>
      </c>
      <c r="I471" s="5">
        <v>1250</v>
      </c>
      <c r="J471" s="5">
        <v>14230.9</v>
      </c>
      <c r="K471" s="5">
        <v>9383.67</v>
      </c>
      <c r="L471" s="5">
        <v>13550</v>
      </c>
      <c r="M471" s="5">
        <v>7683.11</v>
      </c>
      <c r="N471" s="5">
        <v>25189.399999999998</v>
      </c>
      <c r="O471" s="5">
        <v>1250</v>
      </c>
      <c r="P471" s="8">
        <v>2.7296399999999998E-2</v>
      </c>
      <c r="Q471" s="8">
        <v>0.42326999999999998</v>
      </c>
      <c r="R471" s="8">
        <v>2.2579700000000001E-2</v>
      </c>
      <c r="S471" s="8">
        <f>Tabelle1[[#This Row],[corr_x]]/1000</f>
        <v>14.2309</v>
      </c>
      <c r="T471" s="8">
        <f>Tabelle1[[#This Row],[corr_y]]/1000</f>
        <v>9.3836700000000004</v>
      </c>
      <c r="U471" s="8">
        <f>Tabelle1[[#This Row],[corr_z]]/1000</f>
        <v>13.55</v>
      </c>
      <c r="V471" s="8">
        <f>Tabelle1[[#This Row],[corr_soma_x]]/1000</f>
        <v>7.6831100000000001</v>
      </c>
      <c r="W471" s="8">
        <f>Tabelle1[[#This Row],[corr_soma_y]]/1000</f>
        <v>25.189399999999999</v>
      </c>
      <c r="X471" s="8">
        <f>Tabelle1[[#This Row],[corr_soma_z]]/1000</f>
        <v>1.25</v>
      </c>
    </row>
    <row r="472" spans="1:24" x14ac:dyDescent="0.35">
      <c r="A472" s="7" t="s">
        <v>15</v>
      </c>
      <c r="B472" s="7" t="s">
        <v>18</v>
      </c>
      <c r="C472" s="6">
        <v>112</v>
      </c>
      <c r="D472" s="5">
        <v>10722.8</v>
      </c>
      <c r="E472" s="5">
        <v>10440.200000000001</v>
      </c>
      <c r="F472" s="5">
        <v>13450</v>
      </c>
      <c r="G472" s="5">
        <v>7683.11</v>
      </c>
      <c r="H472" s="5">
        <v>25189.399999999998</v>
      </c>
      <c r="I472" s="5">
        <v>1250</v>
      </c>
      <c r="J472" s="5">
        <v>10722.8</v>
      </c>
      <c r="K472" s="5">
        <v>10440.200000000001</v>
      </c>
      <c r="L472" s="5">
        <v>13450</v>
      </c>
      <c r="M472" s="5">
        <v>7683.11</v>
      </c>
      <c r="N472" s="5">
        <v>25189.399999999998</v>
      </c>
      <c r="O472" s="5">
        <v>1250</v>
      </c>
      <c r="P472" s="8">
        <v>7.9602400000000004E-2</v>
      </c>
      <c r="Q472" s="8">
        <v>1.76509</v>
      </c>
      <c r="R472" s="8">
        <v>9.7074300000000002E-2</v>
      </c>
      <c r="S472" s="8">
        <f>Tabelle1[[#This Row],[corr_x]]/1000</f>
        <v>10.722799999999999</v>
      </c>
      <c r="T472" s="8">
        <f>Tabelle1[[#This Row],[corr_y]]/1000</f>
        <v>10.440200000000001</v>
      </c>
      <c r="U472" s="8">
        <f>Tabelle1[[#This Row],[corr_z]]/1000</f>
        <v>13.45</v>
      </c>
      <c r="V472" s="8">
        <f>Tabelle1[[#This Row],[corr_soma_x]]/1000</f>
        <v>7.6831100000000001</v>
      </c>
      <c r="W472" s="8">
        <f>Tabelle1[[#This Row],[corr_soma_y]]/1000</f>
        <v>25.189399999999999</v>
      </c>
      <c r="X472" s="8">
        <f>Tabelle1[[#This Row],[corr_soma_z]]/1000</f>
        <v>1.25</v>
      </c>
    </row>
    <row r="473" spans="1:24" x14ac:dyDescent="0.35">
      <c r="A473" s="7" t="s">
        <v>15</v>
      </c>
      <c r="B473" s="7" t="s">
        <v>18</v>
      </c>
      <c r="C473" s="6">
        <v>113</v>
      </c>
      <c r="D473" s="5">
        <v>11251.8</v>
      </c>
      <c r="E473" s="5">
        <v>9937.73</v>
      </c>
      <c r="F473" s="5">
        <v>13600</v>
      </c>
      <c r="G473" s="5">
        <v>7683.11</v>
      </c>
      <c r="H473" s="5">
        <v>25189.399999999998</v>
      </c>
      <c r="I473" s="5">
        <v>1250</v>
      </c>
      <c r="J473" s="5">
        <v>11251.8</v>
      </c>
      <c r="K473" s="5">
        <v>9937.73</v>
      </c>
      <c r="L473" s="5">
        <v>13600</v>
      </c>
      <c r="M473" s="5">
        <v>7683.11</v>
      </c>
      <c r="N473" s="5">
        <v>25189.399999999998</v>
      </c>
      <c r="O473" s="5">
        <v>1250</v>
      </c>
      <c r="P473" s="8">
        <v>3.2701500000000001E-2</v>
      </c>
      <c r="Q473" s="8">
        <v>2.0376400000000001</v>
      </c>
      <c r="R473" s="8">
        <v>0.134908</v>
      </c>
      <c r="S473" s="8">
        <f>Tabelle1[[#This Row],[corr_x]]/1000</f>
        <v>11.251799999999999</v>
      </c>
      <c r="T473" s="8">
        <f>Tabelle1[[#This Row],[corr_y]]/1000</f>
        <v>9.9377300000000002</v>
      </c>
      <c r="U473" s="8">
        <f>Tabelle1[[#This Row],[corr_z]]/1000</f>
        <v>13.6</v>
      </c>
      <c r="V473" s="8">
        <f>Tabelle1[[#This Row],[corr_soma_x]]/1000</f>
        <v>7.6831100000000001</v>
      </c>
      <c r="W473" s="8">
        <f>Tabelle1[[#This Row],[corr_soma_y]]/1000</f>
        <v>25.189399999999999</v>
      </c>
      <c r="X473" s="8">
        <f>Tabelle1[[#This Row],[corr_soma_z]]/1000</f>
        <v>1.25</v>
      </c>
    </row>
    <row r="474" spans="1:24" x14ac:dyDescent="0.35">
      <c r="A474" s="7" t="s">
        <v>15</v>
      </c>
      <c r="B474" s="7" t="s">
        <v>18</v>
      </c>
      <c r="C474" s="6">
        <v>114</v>
      </c>
      <c r="D474" s="5">
        <v>11937</v>
      </c>
      <c r="E474" s="5">
        <v>9592.4049999999988</v>
      </c>
      <c r="F474" s="5">
        <v>13775</v>
      </c>
      <c r="G474" s="5">
        <v>7683.11</v>
      </c>
      <c r="H474" s="5">
        <v>25189.399999999998</v>
      </c>
      <c r="I474" s="5">
        <v>1250</v>
      </c>
      <c r="J474" s="5">
        <v>11937</v>
      </c>
      <c r="K474" s="5">
        <v>9592.4049999999988</v>
      </c>
      <c r="L474" s="5">
        <v>13775</v>
      </c>
      <c r="M474" s="5">
        <v>7683.11</v>
      </c>
      <c r="N474" s="5">
        <v>25189.399999999998</v>
      </c>
      <c r="O474" s="5">
        <v>1250</v>
      </c>
      <c r="P474" s="8">
        <v>5.7910400000000001E-2</v>
      </c>
      <c r="Q474" s="8">
        <v>2.0569999999999999</v>
      </c>
      <c r="R474" s="8">
        <v>9.3796900000000002E-2</v>
      </c>
      <c r="S474" s="8">
        <f>Tabelle1[[#This Row],[corr_x]]/1000</f>
        <v>11.936999999999999</v>
      </c>
      <c r="T474" s="8">
        <f>Tabelle1[[#This Row],[corr_y]]/1000</f>
        <v>9.5924049999999994</v>
      </c>
      <c r="U474" s="8">
        <f>Tabelle1[[#This Row],[corr_z]]/1000</f>
        <v>13.775</v>
      </c>
      <c r="V474" s="8">
        <f>Tabelle1[[#This Row],[corr_soma_x]]/1000</f>
        <v>7.6831100000000001</v>
      </c>
      <c r="W474" s="8">
        <f>Tabelle1[[#This Row],[corr_soma_y]]/1000</f>
        <v>25.189399999999999</v>
      </c>
      <c r="X474" s="8">
        <f>Tabelle1[[#This Row],[corr_soma_z]]/1000</f>
        <v>1.25</v>
      </c>
    </row>
    <row r="475" spans="1:24" x14ac:dyDescent="0.35">
      <c r="A475" s="7" t="s">
        <v>15</v>
      </c>
      <c r="B475" s="7" t="s">
        <v>18</v>
      </c>
      <c r="C475" s="6">
        <v>115</v>
      </c>
      <c r="D475" s="5">
        <v>9796.91</v>
      </c>
      <c r="E475" s="5">
        <v>10173.949999999999</v>
      </c>
      <c r="F475" s="5">
        <v>13625</v>
      </c>
      <c r="G475" s="5">
        <v>7683.11</v>
      </c>
      <c r="H475" s="5">
        <v>25189.399999999998</v>
      </c>
      <c r="I475" s="5">
        <v>1250</v>
      </c>
      <c r="J475" s="5">
        <v>9796.91</v>
      </c>
      <c r="K475" s="5">
        <v>10173.949999999999</v>
      </c>
      <c r="L475" s="5">
        <v>13625</v>
      </c>
      <c r="M475" s="5">
        <v>7683.11</v>
      </c>
      <c r="N475" s="5">
        <v>25189.399999999998</v>
      </c>
      <c r="O475" s="5">
        <v>1250</v>
      </c>
      <c r="P475" s="8">
        <v>3.6777200000000003E-2</v>
      </c>
      <c r="Q475" s="8">
        <v>0.72052000000000005</v>
      </c>
      <c r="R475" s="8">
        <v>3.05793E-2</v>
      </c>
      <c r="S475" s="8">
        <f>Tabelle1[[#This Row],[corr_x]]/1000</f>
        <v>9.7969100000000005</v>
      </c>
      <c r="T475" s="8">
        <f>Tabelle1[[#This Row],[corr_y]]/1000</f>
        <v>10.17395</v>
      </c>
      <c r="U475" s="8">
        <f>Tabelle1[[#This Row],[corr_z]]/1000</f>
        <v>13.625</v>
      </c>
      <c r="V475" s="8">
        <f>Tabelle1[[#This Row],[corr_soma_x]]/1000</f>
        <v>7.6831100000000001</v>
      </c>
      <c r="W475" s="8">
        <f>Tabelle1[[#This Row],[corr_soma_y]]/1000</f>
        <v>25.189399999999999</v>
      </c>
      <c r="X475" s="8">
        <f>Tabelle1[[#This Row],[corr_soma_z]]/1000</f>
        <v>1.25</v>
      </c>
    </row>
    <row r="476" spans="1:24" x14ac:dyDescent="0.35">
      <c r="A476" s="7" t="s">
        <v>15</v>
      </c>
      <c r="B476" s="7" t="s">
        <v>18</v>
      </c>
      <c r="C476" s="6">
        <v>116</v>
      </c>
      <c r="D476" s="5">
        <v>9673.3700000000008</v>
      </c>
      <c r="E476" s="5">
        <v>9766.2999999999993</v>
      </c>
      <c r="F476" s="5">
        <v>13600</v>
      </c>
      <c r="G476" s="5">
        <v>7683.11</v>
      </c>
      <c r="H476" s="5">
        <v>25189.399999999998</v>
      </c>
      <c r="I476" s="5">
        <v>1250</v>
      </c>
      <c r="J476" s="5">
        <v>9673.3700000000008</v>
      </c>
      <c r="K476" s="5">
        <v>9766.2999999999993</v>
      </c>
      <c r="L476" s="5">
        <v>13600</v>
      </c>
      <c r="M476" s="5">
        <v>7683.11</v>
      </c>
      <c r="N476" s="5">
        <v>25189.399999999998</v>
      </c>
      <c r="O476" s="5">
        <v>1250</v>
      </c>
      <c r="P476" s="8">
        <v>2.6048999999999999E-2</v>
      </c>
      <c r="Q476" s="8">
        <v>0.89212000000000002</v>
      </c>
      <c r="R476" s="8">
        <v>4.9288800000000001E-2</v>
      </c>
      <c r="S476" s="8">
        <f>Tabelle1[[#This Row],[corr_x]]/1000</f>
        <v>9.6733700000000002</v>
      </c>
      <c r="T476" s="8">
        <f>Tabelle1[[#This Row],[corr_y]]/1000</f>
        <v>9.7662999999999993</v>
      </c>
      <c r="U476" s="8">
        <f>Tabelle1[[#This Row],[corr_z]]/1000</f>
        <v>13.6</v>
      </c>
      <c r="V476" s="8">
        <f>Tabelle1[[#This Row],[corr_soma_x]]/1000</f>
        <v>7.6831100000000001</v>
      </c>
      <c r="W476" s="8">
        <f>Tabelle1[[#This Row],[corr_soma_y]]/1000</f>
        <v>25.189399999999999</v>
      </c>
      <c r="X476" s="8">
        <f>Tabelle1[[#This Row],[corr_soma_z]]/1000</f>
        <v>1.25</v>
      </c>
    </row>
    <row r="477" spans="1:24" x14ac:dyDescent="0.35">
      <c r="A477" s="7" t="s">
        <v>15</v>
      </c>
      <c r="B477" s="7" t="s">
        <v>18</v>
      </c>
      <c r="C477" s="6">
        <v>117</v>
      </c>
      <c r="D477" s="5">
        <v>9522.09</v>
      </c>
      <c r="E477" s="5">
        <v>10678.699999999999</v>
      </c>
      <c r="F477" s="5">
        <v>13575</v>
      </c>
      <c r="G477" s="5">
        <v>7683.11</v>
      </c>
      <c r="H477" s="5">
        <v>25189.399999999998</v>
      </c>
      <c r="I477" s="5">
        <v>1250</v>
      </c>
      <c r="J477" s="5">
        <v>9522.09</v>
      </c>
      <c r="K477" s="5">
        <v>10678.699999999999</v>
      </c>
      <c r="L477" s="5">
        <v>13575</v>
      </c>
      <c r="M477" s="5">
        <v>7683.11</v>
      </c>
      <c r="N477" s="5">
        <v>25189.399999999998</v>
      </c>
      <c r="O477" s="5">
        <v>1250</v>
      </c>
      <c r="P477" s="8">
        <v>2.6975099999999998E-2</v>
      </c>
      <c r="Q477" s="8">
        <v>0.37452000000000002</v>
      </c>
      <c r="R477" s="8">
        <v>2.1503700000000001E-2</v>
      </c>
      <c r="S477" s="8">
        <f>Tabelle1[[#This Row],[corr_x]]/1000</f>
        <v>9.5220900000000004</v>
      </c>
      <c r="T477" s="8">
        <f>Tabelle1[[#This Row],[corr_y]]/1000</f>
        <v>10.678699999999999</v>
      </c>
      <c r="U477" s="8">
        <f>Tabelle1[[#This Row],[corr_z]]/1000</f>
        <v>13.574999999999999</v>
      </c>
      <c r="V477" s="8">
        <f>Tabelle1[[#This Row],[corr_soma_x]]/1000</f>
        <v>7.6831100000000001</v>
      </c>
      <c r="W477" s="8">
        <f>Tabelle1[[#This Row],[corr_soma_y]]/1000</f>
        <v>25.189399999999999</v>
      </c>
      <c r="X477" s="8">
        <f>Tabelle1[[#This Row],[corr_soma_z]]/1000</f>
        <v>1.25</v>
      </c>
    </row>
    <row r="478" spans="1:24" x14ac:dyDescent="0.35">
      <c r="A478" s="7" t="s">
        <v>15</v>
      </c>
      <c r="B478" s="7" t="s">
        <v>18</v>
      </c>
      <c r="C478" s="6">
        <v>118</v>
      </c>
      <c r="D478" s="5">
        <v>9127.4449999999997</v>
      </c>
      <c r="E478" s="5">
        <v>10322.6</v>
      </c>
      <c r="F478" s="5">
        <v>13875</v>
      </c>
      <c r="G478" s="5">
        <v>7683.11</v>
      </c>
      <c r="H478" s="5">
        <v>25189.399999999998</v>
      </c>
      <c r="I478" s="5">
        <v>1250</v>
      </c>
      <c r="J478" s="5">
        <v>9127.4449999999997</v>
      </c>
      <c r="K478" s="5">
        <v>10322.6</v>
      </c>
      <c r="L478" s="5">
        <v>13875</v>
      </c>
      <c r="M478" s="5">
        <v>7683.11</v>
      </c>
      <c r="N478" s="5">
        <v>25189.399999999998</v>
      </c>
      <c r="O478" s="5">
        <v>1250</v>
      </c>
      <c r="P478" s="8">
        <v>5.2982099999999997E-2</v>
      </c>
      <c r="Q478" s="8">
        <v>0.95167000000000002</v>
      </c>
      <c r="R478" s="8">
        <v>6.6415199999999994E-2</v>
      </c>
      <c r="S478" s="8">
        <f>Tabelle1[[#This Row],[corr_x]]/1000</f>
        <v>9.1274449999999998</v>
      </c>
      <c r="T478" s="8">
        <f>Tabelle1[[#This Row],[corr_y]]/1000</f>
        <v>10.3226</v>
      </c>
      <c r="U478" s="8">
        <f>Tabelle1[[#This Row],[corr_z]]/1000</f>
        <v>13.875</v>
      </c>
      <c r="V478" s="8">
        <f>Tabelle1[[#This Row],[corr_soma_x]]/1000</f>
        <v>7.6831100000000001</v>
      </c>
      <c r="W478" s="8">
        <f>Tabelle1[[#This Row],[corr_soma_y]]/1000</f>
        <v>25.189399999999999</v>
      </c>
      <c r="X478" s="8">
        <f>Tabelle1[[#This Row],[corr_soma_z]]/1000</f>
        <v>1.25</v>
      </c>
    </row>
    <row r="479" spans="1:24" x14ac:dyDescent="0.35">
      <c r="A479" s="7" t="s">
        <v>15</v>
      </c>
      <c r="B479" s="7" t="s">
        <v>18</v>
      </c>
      <c r="C479" s="6">
        <v>119</v>
      </c>
      <c r="D479" s="5">
        <v>9303.6050000000014</v>
      </c>
      <c r="E479" s="5">
        <v>9562.2450000000008</v>
      </c>
      <c r="F479" s="5">
        <v>13825</v>
      </c>
      <c r="G479" s="5">
        <v>7683.11</v>
      </c>
      <c r="H479" s="5">
        <v>25189.399999999998</v>
      </c>
      <c r="I479" s="5">
        <v>1250</v>
      </c>
      <c r="J479" s="5">
        <v>9303.6050000000014</v>
      </c>
      <c r="K479" s="5">
        <v>9562.2450000000008</v>
      </c>
      <c r="L479" s="5">
        <v>13825</v>
      </c>
      <c r="M479" s="5">
        <v>7683.11</v>
      </c>
      <c r="N479" s="5">
        <v>25189.399999999998</v>
      </c>
      <c r="O479" s="5">
        <v>1250</v>
      </c>
      <c r="P479" s="8">
        <v>4.7319399999999998E-2</v>
      </c>
      <c r="Q479" s="8">
        <v>1.6930700000000001</v>
      </c>
      <c r="R479" s="8">
        <v>0.149839</v>
      </c>
      <c r="S479" s="8">
        <f>Tabelle1[[#This Row],[corr_x]]/1000</f>
        <v>9.303605000000001</v>
      </c>
      <c r="T479" s="8">
        <f>Tabelle1[[#This Row],[corr_y]]/1000</f>
        <v>9.5622450000000008</v>
      </c>
      <c r="U479" s="8">
        <f>Tabelle1[[#This Row],[corr_z]]/1000</f>
        <v>13.824999999999999</v>
      </c>
      <c r="V479" s="8">
        <f>Tabelle1[[#This Row],[corr_soma_x]]/1000</f>
        <v>7.6831100000000001</v>
      </c>
      <c r="W479" s="8">
        <f>Tabelle1[[#This Row],[corr_soma_y]]/1000</f>
        <v>25.189399999999999</v>
      </c>
      <c r="X479" s="8">
        <f>Tabelle1[[#This Row],[corr_soma_z]]/1000</f>
        <v>1.25</v>
      </c>
    </row>
    <row r="480" spans="1:24" x14ac:dyDescent="0.35">
      <c r="A480" s="7" t="s">
        <v>15</v>
      </c>
      <c r="B480" s="7" t="s">
        <v>18</v>
      </c>
      <c r="C480" s="6">
        <v>120</v>
      </c>
      <c r="D480" s="5">
        <v>9343.2950000000019</v>
      </c>
      <c r="E480" s="5">
        <v>9541.66</v>
      </c>
      <c r="F480" s="5">
        <v>13875</v>
      </c>
      <c r="G480" s="5">
        <v>7683.11</v>
      </c>
      <c r="H480" s="5">
        <v>25189.399999999998</v>
      </c>
      <c r="I480" s="5">
        <v>1250</v>
      </c>
      <c r="J480" s="5">
        <v>9343.2950000000019</v>
      </c>
      <c r="K480" s="5">
        <v>9541.66</v>
      </c>
      <c r="L480" s="5">
        <v>13875</v>
      </c>
      <c r="M480" s="5">
        <v>7683.11</v>
      </c>
      <c r="N480" s="5">
        <v>25189.399999999998</v>
      </c>
      <c r="O480" s="5">
        <v>1250</v>
      </c>
      <c r="P480" s="8">
        <v>3.6391699999999999E-2</v>
      </c>
      <c r="Q480" s="8">
        <v>0.36664000000000002</v>
      </c>
      <c r="R480" s="8">
        <v>1.69033E-2</v>
      </c>
      <c r="S480" s="8">
        <f>Tabelle1[[#This Row],[corr_x]]/1000</f>
        <v>9.3432950000000012</v>
      </c>
      <c r="T480" s="8">
        <f>Tabelle1[[#This Row],[corr_y]]/1000</f>
        <v>9.5416600000000003</v>
      </c>
      <c r="U480" s="8">
        <f>Tabelle1[[#This Row],[corr_z]]/1000</f>
        <v>13.875</v>
      </c>
      <c r="V480" s="8">
        <f>Tabelle1[[#This Row],[corr_soma_x]]/1000</f>
        <v>7.6831100000000001</v>
      </c>
      <c r="W480" s="8">
        <f>Tabelle1[[#This Row],[corr_soma_y]]/1000</f>
        <v>25.189399999999999</v>
      </c>
      <c r="X480" s="8">
        <f>Tabelle1[[#This Row],[corr_soma_z]]/1000</f>
        <v>1.25</v>
      </c>
    </row>
    <row r="481" spans="1:24" x14ac:dyDescent="0.35">
      <c r="A481" s="7" t="s">
        <v>15</v>
      </c>
      <c r="B481" s="7" t="s">
        <v>18</v>
      </c>
      <c r="C481" s="6">
        <v>121</v>
      </c>
      <c r="D481" s="5">
        <v>13667.7</v>
      </c>
      <c r="E481" s="5">
        <v>9498.98</v>
      </c>
      <c r="F481" s="5">
        <v>14025</v>
      </c>
      <c r="G481" s="5">
        <v>7683.11</v>
      </c>
      <c r="H481" s="5">
        <v>25189.399999999998</v>
      </c>
      <c r="I481" s="5">
        <v>1250</v>
      </c>
      <c r="J481" s="5">
        <v>13667.7</v>
      </c>
      <c r="K481" s="5">
        <v>9498.98</v>
      </c>
      <c r="L481" s="5">
        <v>14025</v>
      </c>
      <c r="M481" s="5">
        <v>7683.11</v>
      </c>
      <c r="N481" s="5">
        <v>25189.399999999998</v>
      </c>
      <c r="O481" s="5">
        <v>1250</v>
      </c>
      <c r="P481" s="8">
        <v>4.4623500000000003E-2</v>
      </c>
      <c r="Q481" s="8">
        <v>0.67786999999999997</v>
      </c>
      <c r="R481" s="8">
        <v>6.2005900000000003E-2</v>
      </c>
      <c r="S481" s="8">
        <f>Tabelle1[[#This Row],[corr_x]]/1000</f>
        <v>13.6677</v>
      </c>
      <c r="T481" s="8">
        <f>Tabelle1[[#This Row],[corr_y]]/1000</f>
        <v>9.4989799999999995</v>
      </c>
      <c r="U481" s="8">
        <f>Tabelle1[[#This Row],[corr_z]]/1000</f>
        <v>14.025</v>
      </c>
      <c r="V481" s="8">
        <f>Tabelle1[[#This Row],[corr_soma_x]]/1000</f>
        <v>7.6831100000000001</v>
      </c>
      <c r="W481" s="8">
        <f>Tabelle1[[#This Row],[corr_soma_y]]/1000</f>
        <v>25.189399999999999</v>
      </c>
      <c r="X481" s="8">
        <f>Tabelle1[[#This Row],[corr_soma_z]]/1000</f>
        <v>1.25</v>
      </c>
    </row>
    <row r="482" spans="1:24" x14ac:dyDescent="0.35">
      <c r="A482" s="7" t="s">
        <v>15</v>
      </c>
      <c r="B482" s="7" t="s">
        <v>18</v>
      </c>
      <c r="C482" s="6">
        <v>122</v>
      </c>
      <c r="D482" s="5">
        <v>11860.300000000001</v>
      </c>
      <c r="E482" s="5">
        <v>9939.9</v>
      </c>
      <c r="F482" s="5">
        <v>13925</v>
      </c>
      <c r="G482" s="5">
        <v>7683.11</v>
      </c>
      <c r="H482" s="5">
        <v>25189.399999999998</v>
      </c>
      <c r="I482" s="5">
        <v>1250</v>
      </c>
      <c r="J482" s="5">
        <v>11860.300000000001</v>
      </c>
      <c r="K482" s="5">
        <v>9939.9</v>
      </c>
      <c r="L482" s="5">
        <v>13925</v>
      </c>
      <c r="M482" s="5">
        <v>7683.11</v>
      </c>
      <c r="N482" s="5">
        <v>25189.399999999998</v>
      </c>
      <c r="O482" s="5">
        <v>1250</v>
      </c>
      <c r="P482" s="8">
        <v>2.4215199999999999E-2</v>
      </c>
      <c r="Q482" s="8">
        <v>1.9440999999999999</v>
      </c>
      <c r="R482" s="8">
        <v>0.12620600000000001</v>
      </c>
      <c r="S482" s="8">
        <f>Tabelle1[[#This Row],[corr_x]]/1000</f>
        <v>11.860300000000001</v>
      </c>
      <c r="T482" s="8">
        <f>Tabelle1[[#This Row],[corr_y]]/1000</f>
        <v>9.9398999999999997</v>
      </c>
      <c r="U482" s="8">
        <f>Tabelle1[[#This Row],[corr_z]]/1000</f>
        <v>13.925000000000001</v>
      </c>
      <c r="V482" s="8">
        <f>Tabelle1[[#This Row],[corr_soma_x]]/1000</f>
        <v>7.6831100000000001</v>
      </c>
      <c r="W482" s="8">
        <f>Tabelle1[[#This Row],[corr_soma_y]]/1000</f>
        <v>25.189399999999999</v>
      </c>
      <c r="X482" s="8">
        <f>Tabelle1[[#This Row],[corr_soma_z]]/1000</f>
        <v>1.25</v>
      </c>
    </row>
    <row r="483" spans="1:24" x14ac:dyDescent="0.35">
      <c r="A483" s="7" t="s">
        <v>15</v>
      </c>
      <c r="B483" s="7" t="s">
        <v>18</v>
      </c>
      <c r="C483" s="6">
        <v>123</v>
      </c>
      <c r="D483" s="5">
        <v>14448.7</v>
      </c>
      <c r="E483" s="5">
        <v>9088.8799999999992</v>
      </c>
      <c r="F483" s="5">
        <v>14000</v>
      </c>
      <c r="G483" s="5">
        <v>7683.11</v>
      </c>
      <c r="H483" s="5">
        <v>25189.399999999998</v>
      </c>
      <c r="I483" s="5">
        <v>1250</v>
      </c>
      <c r="J483" s="5">
        <v>14448.7</v>
      </c>
      <c r="K483" s="5">
        <v>9088.8799999999992</v>
      </c>
      <c r="L483" s="5">
        <v>14000</v>
      </c>
      <c r="M483" s="5">
        <v>7683.11</v>
      </c>
      <c r="N483" s="5">
        <v>25189.399999999998</v>
      </c>
      <c r="O483" s="5">
        <v>1250</v>
      </c>
      <c r="P483" s="8">
        <v>2.3829599999999999E-2</v>
      </c>
      <c r="Q483" s="8">
        <v>0.95603000000000005</v>
      </c>
      <c r="R483" s="8">
        <v>4.1824E-2</v>
      </c>
      <c r="S483" s="8">
        <f>Tabelle1[[#This Row],[corr_x]]/1000</f>
        <v>14.448700000000001</v>
      </c>
      <c r="T483" s="8">
        <f>Tabelle1[[#This Row],[corr_y]]/1000</f>
        <v>9.0888799999999996</v>
      </c>
      <c r="U483" s="8">
        <f>Tabelle1[[#This Row],[corr_z]]/1000</f>
        <v>14</v>
      </c>
      <c r="V483" s="8">
        <f>Tabelle1[[#This Row],[corr_soma_x]]/1000</f>
        <v>7.6831100000000001</v>
      </c>
      <c r="W483" s="8">
        <f>Tabelle1[[#This Row],[corr_soma_y]]/1000</f>
        <v>25.189399999999999</v>
      </c>
      <c r="X483" s="8">
        <f>Tabelle1[[#This Row],[corr_soma_z]]/1000</f>
        <v>1.25</v>
      </c>
    </row>
    <row r="484" spans="1:24" x14ac:dyDescent="0.35">
      <c r="A484" s="7" t="s">
        <v>15</v>
      </c>
      <c r="B484" s="7" t="s">
        <v>18</v>
      </c>
      <c r="C484" s="6">
        <v>124</v>
      </c>
      <c r="D484" s="5">
        <v>14828.75</v>
      </c>
      <c r="E484" s="5">
        <v>9301.5299999999988</v>
      </c>
      <c r="F484" s="5">
        <v>14025</v>
      </c>
      <c r="G484" s="5">
        <v>7683.11</v>
      </c>
      <c r="H484" s="5">
        <v>25189.399999999998</v>
      </c>
      <c r="I484" s="5">
        <v>1250</v>
      </c>
      <c r="J484" s="5">
        <v>14828.75</v>
      </c>
      <c r="K484" s="5">
        <v>9301.5299999999988</v>
      </c>
      <c r="L484" s="5">
        <v>14025</v>
      </c>
      <c r="M484" s="5">
        <v>7683.11</v>
      </c>
      <c r="N484" s="5">
        <v>25189.399999999998</v>
      </c>
      <c r="O484" s="5">
        <v>1250</v>
      </c>
      <c r="P484" s="8">
        <v>5.2760700000000001E-2</v>
      </c>
      <c r="Q484" s="8">
        <v>1.0724499999999999</v>
      </c>
      <c r="R484" s="8">
        <v>5.9172200000000001E-2</v>
      </c>
      <c r="S484" s="8">
        <f>Tabelle1[[#This Row],[corr_x]]/1000</f>
        <v>14.828749999999999</v>
      </c>
      <c r="T484" s="8">
        <f>Tabelle1[[#This Row],[corr_y]]/1000</f>
        <v>9.3015299999999996</v>
      </c>
      <c r="U484" s="8">
        <f>Tabelle1[[#This Row],[corr_z]]/1000</f>
        <v>14.025</v>
      </c>
      <c r="V484" s="8">
        <f>Tabelle1[[#This Row],[corr_soma_x]]/1000</f>
        <v>7.6831100000000001</v>
      </c>
      <c r="W484" s="8">
        <f>Tabelle1[[#This Row],[corr_soma_y]]/1000</f>
        <v>25.189399999999999</v>
      </c>
      <c r="X484" s="8">
        <f>Tabelle1[[#This Row],[corr_soma_z]]/1000</f>
        <v>1.25</v>
      </c>
    </row>
    <row r="485" spans="1:24" x14ac:dyDescent="0.35">
      <c r="A485" s="7" t="s">
        <v>15</v>
      </c>
      <c r="B485" s="7" t="s">
        <v>18</v>
      </c>
      <c r="C485" s="6">
        <v>125</v>
      </c>
      <c r="D485" s="5">
        <v>14496.800000000001</v>
      </c>
      <c r="E485" s="5">
        <v>9374.92</v>
      </c>
      <c r="F485" s="5">
        <v>14150</v>
      </c>
      <c r="G485" s="5">
        <v>7683.11</v>
      </c>
      <c r="H485" s="5">
        <v>25189.399999999998</v>
      </c>
      <c r="I485" s="5">
        <v>1250</v>
      </c>
      <c r="J485" s="5">
        <v>14496.800000000001</v>
      </c>
      <c r="K485" s="5">
        <v>9374.92</v>
      </c>
      <c r="L485" s="5">
        <v>14150</v>
      </c>
      <c r="M485" s="5">
        <v>7683.11</v>
      </c>
      <c r="N485" s="5">
        <v>25189.399999999998</v>
      </c>
      <c r="O485" s="5">
        <v>1250</v>
      </c>
      <c r="P485" s="8">
        <v>3.7522800000000002E-2</v>
      </c>
      <c r="Q485" s="8">
        <v>1.0068299999999999</v>
      </c>
      <c r="R485" s="8">
        <v>6.1609999999999998E-2</v>
      </c>
      <c r="S485" s="8">
        <f>Tabelle1[[#This Row],[corr_x]]/1000</f>
        <v>14.4968</v>
      </c>
      <c r="T485" s="8">
        <f>Tabelle1[[#This Row],[corr_y]]/1000</f>
        <v>9.3749199999999995</v>
      </c>
      <c r="U485" s="8">
        <f>Tabelle1[[#This Row],[corr_z]]/1000</f>
        <v>14.15</v>
      </c>
      <c r="V485" s="8">
        <f>Tabelle1[[#This Row],[corr_soma_x]]/1000</f>
        <v>7.6831100000000001</v>
      </c>
      <c r="W485" s="8">
        <f>Tabelle1[[#This Row],[corr_soma_y]]/1000</f>
        <v>25.189399999999999</v>
      </c>
      <c r="X485" s="8">
        <f>Tabelle1[[#This Row],[corr_soma_z]]/1000</f>
        <v>1.25</v>
      </c>
    </row>
    <row r="486" spans="1:24" x14ac:dyDescent="0.35">
      <c r="A486" s="7" t="s">
        <v>15</v>
      </c>
      <c r="B486" s="7" t="s">
        <v>18</v>
      </c>
      <c r="C486" s="6">
        <v>126</v>
      </c>
      <c r="D486" s="5">
        <v>12831.5</v>
      </c>
      <c r="E486" s="5">
        <v>9367.73</v>
      </c>
      <c r="F486" s="5">
        <v>13900</v>
      </c>
      <c r="G486" s="5">
        <v>7683.11</v>
      </c>
      <c r="H486" s="5">
        <v>25189.399999999998</v>
      </c>
      <c r="I486" s="5">
        <v>1250</v>
      </c>
      <c r="J486" s="5">
        <v>12831.5</v>
      </c>
      <c r="K486" s="5">
        <v>9367.73</v>
      </c>
      <c r="L486" s="5">
        <v>13900</v>
      </c>
      <c r="M486" s="5">
        <v>7683.11</v>
      </c>
      <c r="N486" s="5">
        <v>25189.399999999998</v>
      </c>
      <c r="O486" s="5">
        <v>1250</v>
      </c>
      <c r="P486" s="8">
        <v>2.30794E-2</v>
      </c>
      <c r="Q486" s="8">
        <v>0.66957999999999995</v>
      </c>
      <c r="R486" s="8">
        <v>3.5390999999999999E-2</v>
      </c>
      <c r="S486" s="8">
        <f>Tabelle1[[#This Row],[corr_x]]/1000</f>
        <v>12.8315</v>
      </c>
      <c r="T486" s="8">
        <f>Tabelle1[[#This Row],[corr_y]]/1000</f>
        <v>9.3677299999999999</v>
      </c>
      <c r="U486" s="8">
        <f>Tabelle1[[#This Row],[corr_z]]/1000</f>
        <v>13.9</v>
      </c>
      <c r="V486" s="8">
        <f>Tabelle1[[#This Row],[corr_soma_x]]/1000</f>
        <v>7.6831100000000001</v>
      </c>
      <c r="W486" s="8">
        <f>Tabelle1[[#This Row],[corr_soma_y]]/1000</f>
        <v>25.189399999999999</v>
      </c>
      <c r="X486" s="8">
        <f>Tabelle1[[#This Row],[corr_soma_z]]/1000</f>
        <v>1.25</v>
      </c>
    </row>
    <row r="487" spans="1:24" x14ac:dyDescent="0.35">
      <c r="A487" s="7" t="s">
        <v>15</v>
      </c>
      <c r="B487" s="7" t="s">
        <v>18</v>
      </c>
      <c r="C487" s="6">
        <v>127</v>
      </c>
      <c r="D487" s="5">
        <v>8473.119999999999</v>
      </c>
      <c r="E487" s="5">
        <v>8537.08</v>
      </c>
      <c r="F487" s="5">
        <v>14775</v>
      </c>
      <c r="G487" s="5">
        <v>7683.11</v>
      </c>
      <c r="H487" s="5">
        <v>25189.399999999998</v>
      </c>
      <c r="I487" s="5">
        <v>1250</v>
      </c>
      <c r="J487" s="5">
        <v>8473.119999999999</v>
      </c>
      <c r="K487" s="5">
        <v>8537.08</v>
      </c>
      <c r="L487" s="5">
        <v>14775</v>
      </c>
      <c r="M487" s="5">
        <v>7683.11</v>
      </c>
      <c r="N487" s="5">
        <v>25189.399999999998</v>
      </c>
      <c r="O487" s="5">
        <v>1250</v>
      </c>
      <c r="P487" s="8">
        <v>4.6367199999999997E-2</v>
      </c>
      <c r="Q487" s="8">
        <v>0.87995000000000001</v>
      </c>
      <c r="R487" s="8">
        <v>8.8472400000000007E-2</v>
      </c>
      <c r="S487" s="8">
        <f>Tabelle1[[#This Row],[corr_x]]/1000</f>
        <v>8.4731199999999998</v>
      </c>
      <c r="T487" s="8">
        <f>Tabelle1[[#This Row],[corr_y]]/1000</f>
        <v>8.5370799999999996</v>
      </c>
      <c r="U487" s="8">
        <f>Tabelle1[[#This Row],[corr_z]]/1000</f>
        <v>14.775</v>
      </c>
      <c r="V487" s="8">
        <f>Tabelle1[[#This Row],[corr_soma_x]]/1000</f>
        <v>7.6831100000000001</v>
      </c>
      <c r="W487" s="8">
        <f>Tabelle1[[#This Row],[corr_soma_y]]/1000</f>
        <v>25.189399999999999</v>
      </c>
      <c r="X487" s="8">
        <f>Tabelle1[[#This Row],[corr_soma_z]]/1000</f>
        <v>1.25</v>
      </c>
    </row>
    <row r="488" spans="1:24" x14ac:dyDescent="0.35">
      <c r="A488" s="7" t="s">
        <v>15</v>
      </c>
      <c r="B488" s="7" t="s">
        <v>18</v>
      </c>
      <c r="C488" s="6">
        <v>128</v>
      </c>
      <c r="D488" s="5">
        <v>8882.369999999999</v>
      </c>
      <c r="E488" s="5">
        <v>8230.2099999999991</v>
      </c>
      <c r="F488" s="5">
        <v>14700</v>
      </c>
      <c r="G488" s="5">
        <v>7683.11</v>
      </c>
      <c r="H488" s="5">
        <v>25189.399999999998</v>
      </c>
      <c r="I488" s="5">
        <v>1250</v>
      </c>
      <c r="J488" s="5">
        <v>8882.369999999999</v>
      </c>
      <c r="K488" s="5">
        <v>8230.2099999999991</v>
      </c>
      <c r="L488" s="5">
        <v>14700</v>
      </c>
      <c r="M488" s="5">
        <v>7683.11</v>
      </c>
      <c r="N488" s="5">
        <v>25189.399999999998</v>
      </c>
      <c r="O488" s="5">
        <v>1250</v>
      </c>
      <c r="P488" s="8">
        <v>5.48605E-2</v>
      </c>
      <c r="Q488" s="8">
        <v>2.0641500000000002</v>
      </c>
      <c r="R488" s="8">
        <v>0.15232799999999999</v>
      </c>
      <c r="S488" s="8">
        <f>Tabelle1[[#This Row],[corr_x]]/1000</f>
        <v>8.8823699999999981</v>
      </c>
      <c r="T488" s="8">
        <f>Tabelle1[[#This Row],[corr_y]]/1000</f>
        <v>8.2302099999999996</v>
      </c>
      <c r="U488" s="8">
        <f>Tabelle1[[#This Row],[corr_z]]/1000</f>
        <v>14.7</v>
      </c>
      <c r="V488" s="8">
        <f>Tabelle1[[#This Row],[corr_soma_x]]/1000</f>
        <v>7.6831100000000001</v>
      </c>
      <c r="W488" s="8">
        <f>Tabelle1[[#This Row],[corr_soma_y]]/1000</f>
        <v>25.189399999999999</v>
      </c>
      <c r="X488" s="8">
        <f>Tabelle1[[#This Row],[corr_soma_z]]/1000</f>
        <v>1.25</v>
      </c>
    </row>
    <row r="489" spans="1:24" x14ac:dyDescent="0.35">
      <c r="A489" s="7" t="s">
        <v>15</v>
      </c>
      <c r="B489" s="7" t="s">
        <v>18</v>
      </c>
      <c r="C489" s="6">
        <v>129</v>
      </c>
      <c r="D489" s="5">
        <v>8714.17</v>
      </c>
      <c r="E489" s="5">
        <v>8857.8149999999987</v>
      </c>
      <c r="F489" s="5">
        <v>14775</v>
      </c>
      <c r="G489" s="5">
        <v>7683.11</v>
      </c>
      <c r="H489" s="5">
        <v>25189.399999999998</v>
      </c>
      <c r="I489" s="5">
        <v>1250</v>
      </c>
      <c r="J489" s="5">
        <v>8714.17</v>
      </c>
      <c r="K489" s="5">
        <v>8857.8149999999987</v>
      </c>
      <c r="L489" s="5">
        <v>14775</v>
      </c>
      <c r="M489" s="5">
        <v>7683.11</v>
      </c>
      <c r="N489" s="5">
        <v>25189.399999999998</v>
      </c>
      <c r="O489" s="5">
        <v>1250</v>
      </c>
      <c r="P489" s="8">
        <v>3.8136700000000003E-2</v>
      </c>
      <c r="Q489" s="8">
        <v>0.92257</v>
      </c>
      <c r="R489" s="8">
        <v>5.9580000000000001E-2</v>
      </c>
      <c r="S489" s="8">
        <f>Tabelle1[[#This Row],[corr_x]]/1000</f>
        <v>8.7141699999999993</v>
      </c>
      <c r="T489" s="8">
        <f>Tabelle1[[#This Row],[corr_y]]/1000</f>
        <v>8.8578149999999987</v>
      </c>
      <c r="U489" s="8">
        <f>Tabelle1[[#This Row],[corr_z]]/1000</f>
        <v>14.775</v>
      </c>
      <c r="V489" s="8">
        <f>Tabelle1[[#This Row],[corr_soma_x]]/1000</f>
        <v>7.6831100000000001</v>
      </c>
      <c r="W489" s="8">
        <f>Tabelle1[[#This Row],[corr_soma_y]]/1000</f>
        <v>25.189399999999999</v>
      </c>
      <c r="X489" s="8">
        <f>Tabelle1[[#This Row],[corr_soma_z]]/1000</f>
        <v>1.25</v>
      </c>
    </row>
    <row r="490" spans="1:24" x14ac:dyDescent="0.35">
      <c r="A490" s="7" t="s">
        <v>15</v>
      </c>
      <c r="B490" s="7" t="s">
        <v>19</v>
      </c>
      <c r="C490" s="6">
        <v>24</v>
      </c>
      <c r="D490" s="5">
        <v>8558.6750000000011</v>
      </c>
      <c r="E490" s="5">
        <v>8731.4750000000004</v>
      </c>
      <c r="F490" s="5">
        <v>14725</v>
      </c>
      <c r="G490" s="5">
        <v>7683.11</v>
      </c>
      <c r="H490" s="5">
        <v>25189.399999999998</v>
      </c>
      <c r="I490" s="5">
        <v>1250</v>
      </c>
      <c r="J490" s="5">
        <v>8558.6750000000011</v>
      </c>
      <c r="K490" s="5">
        <v>8731.4750000000004</v>
      </c>
      <c r="L490" s="5">
        <v>14725</v>
      </c>
      <c r="M490" s="5">
        <v>7683.11</v>
      </c>
      <c r="N490" s="5">
        <v>25189.399999999998</v>
      </c>
      <c r="O490" s="5">
        <v>1250</v>
      </c>
      <c r="P490" s="8">
        <v>1.2576199999999999E-2</v>
      </c>
      <c r="Q490" s="8">
        <v>0.63539999999999996</v>
      </c>
      <c r="R490" s="8">
        <v>5.3161100000000003E-2</v>
      </c>
      <c r="S490" s="8">
        <f>Tabelle1[[#This Row],[corr_x]]/1000</f>
        <v>8.5586750000000009</v>
      </c>
      <c r="T490" s="8">
        <f>Tabelle1[[#This Row],[corr_y]]/1000</f>
        <v>8.7314749999999997</v>
      </c>
      <c r="U490" s="8">
        <f>Tabelle1[[#This Row],[corr_z]]/1000</f>
        <v>14.725</v>
      </c>
      <c r="V490" s="8">
        <f>Tabelle1[[#This Row],[corr_soma_x]]/1000</f>
        <v>7.6831100000000001</v>
      </c>
      <c r="W490" s="8">
        <f>Tabelle1[[#This Row],[corr_soma_y]]/1000</f>
        <v>25.189399999999999</v>
      </c>
      <c r="X490" s="8">
        <f>Tabelle1[[#This Row],[corr_soma_z]]/1000</f>
        <v>1.25</v>
      </c>
    </row>
    <row r="491" spans="1:24" x14ac:dyDescent="0.35">
      <c r="A491" s="7" t="s">
        <v>15</v>
      </c>
      <c r="B491" s="7" t="s">
        <v>18</v>
      </c>
      <c r="C491" s="6">
        <v>130</v>
      </c>
      <c r="D491" s="5">
        <v>8412.2699999999986</v>
      </c>
      <c r="E491" s="5">
        <v>7741.96</v>
      </c>
      <c r="F491" s="5">
        <v>14800</v>
      </c>
      <c r="G491" s="5">
        <v>7683.11</v>
      </c>
      <c r="H491" s="5">
        <v>25189.399999999998</v>
      </c>
      <c r="I491" s="5">
        <v>1250</v>
      </c>
      <c r="J491" s="5">
        <v>8412.2699999999986</v>
      </c>
      <c r="K491" s="5">
        <v>7741.96</v>
      </c>
      <c r="L491" s="5">
        <v>14800</v>
      </c>
      <c r="M491" s="5">
        <v>7683.11</v>
      </c>
      <c r="N491" s="5">
        <v>25189.399999999998</v>
      </c>
      <c r="O491" s="5">
        <v>1250</v>
      </c>
      <c r="P491" s="8">
        <v>3.1498600000000002E-2</v>
      </c>
      <c r="Q491" s="8">
        <v>1.04348</v>
      </c>
      <c r="R491" s="8">
        <v>8.5758600000000004E-2</v>
      </c>
      <c r="S491" s="8">
        <f>Tabelle1[[#This Row],[corr_x]]/1000</f>
        <v>8.4122699999999995</v>
      </c>
      <c r="T491" s="8">
        <f>Tabelle1[[#This Row],[corr_y]]/1000</f>
        <v>7.7419599999999997</v>
      </c>
      <c r="U491" s="8">
        <f>Tabelle1[[#This Row],[corr_z]]/1000</f>
        <v>14.8</v>
      </c>
      <c r="V491" s="8">
        <f>Tabelle1[[#This Row],[corr_soma_x]]/1000</f>
        <v>7.6831100000000001</v>
      </c>
      <c r="W491" s="8">
        <f>Tabelle1[[#This Row],[corr_soma_y]]/1000</f>
        <v>25.189399999999999</v>
      </c>
      <c r="X491" s="8">
        <f>Tabelle1[[#This Row],[corr_soma_z]]/1000</f>
        <v>1.25</v>
      </c>
    </row>
    <row r="492" spans="1:24" x14ac:dyDescent="0.35">
      <c r="A492" s="7" t="s">
        <v>15</v>
      </c>
      <c r="B492" s="7" t="s">
        <v>18</v>
      </c>
      <c r="C492" s="6">
        <v>131</v>
      </c>
      <c r="D492" s="5">
        <v>8426.034999999998</v>
      </c>
      <c r="E492" s="5">
        <v>8012.87</v>
      </c>
      <c r="F492" s="5">
        <v>14825</v>
      </c>
      <c r="G492" s="5">
        <v>7683.11</v>
      </c>
      <c r="H492" s="5">
        <v>25189.399999999998</v>
      </c>
      <c r="I492" s="5">
        <v>1250</v>
      </c>
      <c r="J492" s="5">
        <v>8426.034999999998</v>
      </c>
      <c r="K492" s="5">
        <v>8012.87</v>
      </c>
      <c r="L492" s="5">
        <v>14825</v>
      </c>
      <c r="M492" s="5">
        <v>7683.11</v>
      </c>
      <c r="N492" s="5">
        <v>25189.399999999998</v>
      </c>
      <c r="O492" s="5">
        <v>1250</v>
      </c>
      <c r="P492" s="8">
        <v>1.7695599999999999E-2</v>
      </c>
      <c r="Q492" s="8">
        <v>0.55696999999999997</v>
      </c>
      <c r="R492" s="8">
        <v>3.24534E-2</v>
      </c>
      <c r="S492" s="8">
        <f>Tabelle1[[#This Row],[corr_x]]/1000</f>
        <v>8.4260349999999988</v>
      </c>
      <c r="T492" s="8">
        <f>Tabelle1[[#This Row],[corr_y]]/1000</f>
        <v>8.0128699999999995</v>
      </c>
      <c r="U492" s="8">
        <f>Tabelle1[[#This Row],[corr_z]]/1000</f>
        <v>14.824999999999999</v>
      </c>
      <c r="V492" s="8">
        <f>Tabelle1[[#This Row],[corr_soma_x]]/1000</f>
        <v>7.6831100000000001</v>
      </c>
      <c r="W492" s="8">
        <f>Tabelle1[[#This Row],[corr_soma_y]]/1000</f>
        <v>25.189399999999999</v>
      </c>
      <c r="X492" s="8">
        <f>Tabelle1[[#This Row],[corr_soma_z]]/1000</f>
        <v>1.25</v>
      </c>
    </row>
    <row r="493" spans="1:24" x14ac:dyDescent="0.35">
      <c r="A493" s="7" t="s">
        <v>15</v>
      </c>
      <c r="B493" s="7" t="s">
        <v>18</v>
      </c>
      <c r="C493" s="6">
        <v>132</v>
      </c>
      <c r="D493" s="5">
        <v>8459.1050000000014</v>
      </c>
      <c r="E493" s="5">
        <v>6457.72</v>
      </c>
      <c r="F493" s="5">
        <v>14775</v>
      </c>
      <c r="G493" s="5">
        <v>7683.11</v>
      </c>
      <c r="H493" s="5">
        <v>25189.399999999998</v>
      </c>
      <c r="I493" s="5">
        <v>1250</v>
      </c>
      <c r="J493" s="5">
        <v>8459.1050000000014</v>
      </c>
      <c r="K493" s="5">
        <v>6457.72</v>
      </c>
      <c r="L493" s="5">
        <v>14775</v>
      </c>
      <c r="M493" s="5">
        <v>7683.11</v>
      </c>
      <c r="N493" s="5">
        <v>25189.399999999998</v>
      </c>
      <c r="O493" s="5">
        <v>1250</v>
      </c>
      <c r="P493" s="8">
        <v>5.5029099999999997E-2</v>
      </c>
      <c r="Q493" s="8">
        <v>0.92495300000000003</v>
      </c>
      <c r="R493" s="8">
        <v>9.0136099999999997E-2</v>
      </c>
      <c r="S493" s="8">
        <f>Tabelle1[[#This Row],[corr_x]]/1000</f>
        <v>8.459105000000001</v>
      </c>
      <c r="T493" s="8">
        <f>Tabelle1[[#This Row],[corr_y]]/1000</f>
        <v>6.4577200000000001</v>
      </c>
      <c r="U493" s="8">
        <f>Tabelle1[[#This Row],[corr_z]]/1000</f>
        <v>14.775</v>
      </c>
      <c r="V493" s="8">
        <f>Tabelle1[[#This Row],[corr_soma_x]]/1000</f>
        <v>7.6831100000000001</v>
      </c>
      <c r="W493" s="8">
        <f>Tabelle1[[#This Row],[corr_soma_y]]/1000</f>
        <v>25.189399999999999</v>
      </c>
      <c r="X493" s="8">
        <f>Tabelle1[[#This Row],[corr_soma_z]]/1000</f>
        <v>1.25</v>
      </c>
    </row>
    <row r="494" spans="1:24" x14ac:dyDescent="0.35">
      <c r="A494" s="7" t="s">
        <v>15</v>
      </c>
      <c r="B494" s="7" t="s">
        <v>18</v>
      </c>
      <c r="C494" s="6">
        <v>133</v>
      </c>
      <c r="D494" s="5">
        <v>8069.07</v>
      </c>
      <c r="E494" s="5">
        <v>6117.51</v>
      </c>
      <c r="F494" s="5">
        <v>15100</v>
      </c>
      <c r="G494" s="5">
        <v>7683.11</v>
      </c>
      <c r="H494" s="5">
        <v>25189.399999999998</v>
      </c>
      <c r="I494" s="5">
        <v>1250</v>
      </c>
      <c r="J494" s="5">
        <v>8069.07</v>
      </c>
      <c r="K494" s="5">
        <v>6117.51</v>
      </c>
      <c r="L494" s="5">
        <v>15100</v>
      </c>
      <c r="M494" s="5">
        <v>7683.11</v>
      </c>
      <c r="N494" s="5">
        <v>25189.399999999998</v>
      </c>
      <c r="O494" s="5">
        <v>1250</v>
      </c>
      <c r="P494" s="8">
        <v>2.3528799999999999E-2</v>
      </c>
      <c r="Q494" s="8">
        <v>3.3866000000000001</v>
      </c>
      <c r="R494" s="8">
        <v>0.25203700000000001</v>
      </c>
      <c r="S494" s="8">
        <f>Tabelle1[[#This Row],[corr_x]]/1000</f>
        <v>8.06907</v>
      </c>
      <c r="T494" s="8">
        <f>Tabelle1[[#This Row],[corr_y]]/1000</f>
        <v>6.1175100000000002</v>
      </c>
      <c r="U494" s="8">
        <f>Tabelle1[[#This Row],[corr_z]]/1000</f>
        <v>15.1</v>
      </c>
      <c r="V494" s="8">
        <f>Tabelle1[[#This Row],[corr_soma_x]]/1000</f>
        <v>7.6831100000000001</v>
      </c>
      <c r="W494" s="8">
        <f>Tabelle1[[#This Row],[corr_soma_y]]/1000</f>
        <v>25.189399999999999</v>
      </c>
      <c r="X494" s="8">
        <f>Tabelle1[[#This Row],[corr_soma_z]]/1000</f>
        <v>1.25</v>
      </c>
    </row>
    <row r="495" spans="1:24" x14ac:dyDescent="0.35">
      <c r="A495" s="7" t="s">
        <v>15</v>
      </c>
      <c r="B495" s="7" t="s">
        <v>18</v>
      </c>
      <c r="C495" s="6">
        <v>134</v>
      </c>
      <c r="D495" s="5">
        <v>8429.4600000000009</v>
      </c>
      <c r="E495" s="5">
        <v>6062.91</v>
      </c>
      <c r="F495" s="5">
        <v>14750</v>
      </c>
      <c r="G495" s="5">
        <v>7683.11</v>
      </c>
      <c r="H495" s="5">
        <v>25189.399999999998</v>
      </c>
      <c r="I495" s="5">
        <v>1250</v>
      </c>
      <c r="J495" s="5">
        <v>8429.4600000000009</v>
      </c>
      <c r="K495" s="5">
        <v>6062.91</v>
      </c>
      <c r="L495" s="5">
        <v>14750</v>
      </c>
      <c r="M495" s="5">
        <v>7683.11</v>
      </c>
      <c r="N495" s="5">
        <v>25189.399999999998</v>
      </c>
      <c r="O495" s="5">
        <v>1250</v>
      </c>
      <c r="P495" s="8">
        <v>2.9551899999999999E-2</v>
      </c>
      <c r="Q495" s="8">
        <v>1.0062800000000001</v>
      </c>
      <c r="R495" s="8">
        <v>5.5968299999999999E-2</v>
      </c>
      <c r="S495" s="8">
        <f>Tabelle1[[#This Row],[corr_x]]/1000</f>
        <v>8.4294600000000006</v>
      </c>
      <c r="T495" s="8">
        <f>Tabelle1[[#This Row],[corr_y]]/1000</f>
        <v>6.0629099999999996</v>
      </c>
      <c r="U495" s="8">
        <f>Tabelle1[[#This Row],[corr_z]]/1000</f>
        <v>14.75</v>
      </c>
      <c r="V495" s="8">
        <f>Tabelle1[[#This Row],[corr_soma_x]]/1000</f>
        <v>7.6831100000000001</v>
      </c>
      <c r="W495" s="8">
        <f>Tabelle1[[#This Row],[corr_soma_y]]/1000</f>
        <v>25.189399999999999</v>
      </c>
      <c r="X495" s="8">
        <f>Tabelle1[[#This Row],[corr_soma_z]]/1000</f>
        <v>1.25</v>
      </c>
    </row>
    <row r="496" spans="1:24" x14ac:dyDescent="0.35">
      <c r="A496" s="7" t="s">
        <v>15</v>
      </c>
      <c r="B496" s="7" t="s">
        <v>18</v>
      </c>
      <c r="C496" s="6">
        <v>135</v>
      </c>
      <c r="D496" s="5">
        <v>8010.4500000000007</v>
      </c>
      <c r="E496" s="5">
        <v>6603</v>
      </c>
      <c r="F496" s="5">
        <v>14750</v>
      </c>
      <c r="G496" s="5">
        <v>7683.11</v>
      </c>
      <c r="H496" s="5">
        <v>25189.399999999998</v>
      </c>
      <c r="I496" s="5">
        <v>1250</v>
      </c>
      <c r="J496" s="5">
        <v>8010.4500000000007</v>
      </c>
      <c r="K496" s="5">
        <v>6603</v>
      </c>
      <c r="L496" s="5">
        <v>14750</v>
      </c>
      <c r="M496" s="5">
        <v>7683.11</v>
      </c>
      <c r="N496" s="5">
        <v>25189.399999999998</v>
      </c>
      <c r="O496" s="5">
        <v>1250</v>
      </c>
      <c r="P496" s="8">
        <v>2.2095299999999998E-2</v>
      </c>
      <c r="Q496" s="8">
        <v>0.449131</v>
      </c>
      <c r="R496" s="8">
        <v>1.9088000000000001E-2</v>
      </c>
      <c r="S496" s="8">
        <f>Tabelle1[[#This Row],[corr_x]]/1000</f>
        <v>8.0104500000000005</v>
      </c>
      <c r="T496" s="8">
        <f>Tabelle1[[#This Row],[corr_y]]/1000</f>
        <v>6.6029999999999998</v>
      </c>
      <c r="U496" s="8">
        <f>Tabelle1[[#This Row],[corr_z]]/1000</f>
        <v>14.75</v>
      </c>
      <c r="V496" s="8">
        <f>Tabelle1[[#This Row],[corr_soma_x]]/1000</f>
        <v>7.6831100000000001</v>
      </c>
      <c r="W496" s="8">
        <f>Tabelle1[[#This Row],[corr_soma_y]]/1000</f>
        <v>25.189399999999999</v>
      </c>
      <c r="X496" s="8">
        <f>Tabelle1[[#This Row],[corr_soma_z]]/1000</f>
        <v>1.25</v>
      </c>
    </row>
    <row r="497" spans="1:24" x14ac:dyDescent="0.35">
      <c r="A497" s="7" t="s">
        <v>15</v>
      </c>
      <c r="B497" s="7" t="s">
        <v>18</v>
      </c>
      <c r="C497" s="6">
        <v>136</v>
      </c>
      <c r="D497" s="5">
        <v>7811.96</v>
      </c>
      <c r="E497" s="5">
        <v>5290.19</v>
      </c>
      <c r="F497" s="5">
        <v>15250</v>
      </c>
      <c r="G497" s="5">
        <v>7683.11</v>
      </c>
      <c r="H497" s="5">
        <v>25189.399999999998</v>
      </c>
      <c r="I497" s="5">
        <v>1250</v>
      </c>
      <c r="J497" s="5">
        <v>7811.96</v>
      </c>
      <c r="K497" s="5">
        <v>5290.19</v>
      </c>
      <c r="L497" s="5">
        <v>15250</v>
      </c>
      <c r="M497" s="5">
        <v>7683.11</v>
      </c>
      <c r="N497" s="5">
        <v>25189.399999999998</v>
      </c>
      <c r="O497" s="5">
        <v>1250</v>
      </c>
      <c r="P497" s="8">
        <v>4.95028E-2</v>
      </c>
      <c r="Q497" s="8">
        <v>0.53036000000000005</v>
      </c>
      <c r="R497" s="8">
        <v>3.49632E-2</v>
      </c>
      <c r="S497" s="8">
        <f>Tabelle1[[#This Row],[corr_x]]/1000</f>
        <v>7.81196</v>
      </c>
      <c r="T497" s="8">
        <f>Tabelle1[[#This Row],[corr_y]]/1000</f>
        <v>5.2901899999999999</v>
      </c>
      <c r="U497" s="8">
        <f>Tabelle1[[#This Row],[corr_z]]/1000</f>
        <v>15.25</v>
      </c>
      <c r="V497" s="8">
        <f>Tabelle1[[#This Row],[corr_soma_x]]/1000</f>
        <v>7.6831100000000001</v>
      </c>
      <c r="W497" s="8">
        <f>Tabelle1[[#This Row],[corr_soma_y]]/1000</f>
        <v>25.189399999999999</v>
      </c>
      <c r="X497" s="8">
        <f>Tabelle1[[#This Row],[corr_soma_z]]/1000</f>
        <v>1.25</v>
      </c>
    </row>
    <row r="498" spans="1:24" x14ac:dyDescent="0.35">
      <c r="A498" s="7" t="s">
        <v>15</v>
      </c>
      <c r="B498" s="7" t="s">
        <v>18</v>
      </c>
      <c r="C498" s="6">
        <v>137</v>
      </c>
      <c r="D498" s="5">
        <v>8208.24</v>
      </c>
      <c r="E498" s="5">
        <v>4957.2000000000007</v>
      </c>
      <c r="F498" s="5">
        <v>15150</v>
      </c>
      <c r="G498" s="5">
        <v>7683.11</v>
      </c>
      <c r="H498" s="5">
        <v>25189.399999999998</v>
      </c>
      <c r="I498" s="5">
        <v>1250</v>
      </c>
      <c r="J498" s="5">
        <v>8208.24</v>
      </c>
      <c r="K498" s="5">
        <v>4957.2000000000007</v>
      </c>
      <c r="L498" s="5">
        <v>15150</v>
      </c>
      <c r="M498" s="5">
        <v>7683.11</v>
      </c>
      <c r="N498" s="5">
        <v>25189.399999999998</v>
      </c>
      <c r="O498" s="5">
        <v>1250</v>
      </c>
      <c r="P498" s="8">
        <v>5.4640000000000001E-2</v>
      </c>
      <c r="Q498" s="8">
        <v>1.09484</v>
      </c>
      <c r="R498" s="8">
        <v>6.8209000000000006E-2</v>
      </c>
      <c r="S498" s="8">
        <f>Tabelle1[[#This Row],[corr_x]]/1000</f>
        <v>8.20824</v>
      </c>
      <c r="T498" s="8">
        <f>Tabelle1[[#This Row],[corr_y]]/1000</f>
        <v>4.9572000000000012</v>
      </c>
      <c r="U498" s="8">
        <f>Tabelle1[[#This Row],[corr_z]]/1000</f>
        <v>15.15</v>
      </c>
      <c r="V498" s="8">
        <f>Tabelle1[[#This Row],[corr_soma_x]]/1000</f>
        <v>7.6831100000000001</v>
      </c>
      <c r="W498" s="8">
        <f>Tabelle1[[#This Row],[corr_soma_y]]/1000</f>
        <v>25.189399999999999</v>
      </c>
      <c r="X498" s="8">
        <f>Tabelle1[[#This Row],[corr_soma_z]]/1000</f>
        <v>1.25</v>
      </c>
    </row>
    <row r="499" spans="1:24" x14ac:dyDescent="0.35">
      <c r="A499" s="7" t="s">
        <v>15</v>
      </c>
      <c r="B499" s="7" t="s">
        <v>18</v>
      </c>
      <c r="C499" s="6">
        <v>138</v>
      </c>
      <c r="D499" s="5">
        <v>8480.58</v>
      </c>
      <c r="E499" s="5">
        <v>8394.51</v>
      </c>
      <c r="F499" s="5">
        <v>15300</v>
      </c>
      <c r="G499" s="5">
        <v>7683.11</v>
      </c>
      <c r="H499" s="5">
        <v>25189.399999999998</v>
      </c>
      <c r="I499" s="5">
        <v>1250</v>
      </c>
      <c r="J499" s="5">
        <v>8480.58</v>
      </c>
      <c r="K499" s="5">
        <v>8394.51</v>
      </c>
      <c r="L499" s="5">
        <v>15300</v>
      </c>
      <c r="M499" s="5">
        <v>7683.11</v>
      </c>
      <c r="N499" s="5">
        <v>25189.399999999998</v>
      </c>
      <c r="O499" s="5">
        <v>1250</v>
      </c>
      <c r="P499" s="8">
        <v>2.3407799999999999E-2</v>
      </c>
      <c r="Q499" s="8">
        <v>0.49980999999999998</v>
      </c>
      <c r="R499" s="8">
        <v>2.33393E-2</v>
      </c>
      <c r="S499" s="8">
        <f>Tabelle1[[#This Row],[corr_x]]/1000</f>
        <v>8.4805799999999998</v>
      </c>
      <c r="T499" s="8">
        <f>Tabelle1[[#This Row],[corr_y]]/1000</f>
        <v>8.3945100000000004</v>
      </c>
      <c r="U499" s="8">
        <f>Tabelle1[[#This Row],[corr_z]]/1000</f>
        <v>15.3</v>
      </c>
      <c r="V499" s="8">
        <f>Tabelle1[[#This Row],[corr_soma_x]]/1000</f>
        <v>7.6831100000000001</v>
      </c>
      <c r="W499" s="8">
        <f>Tabelle1[[#This Row],[corr_soma_y]]/1000</f>
        <v>25.189399999999999</v>
      </c>
      <c r="X499" s="8">
        <f>Tabelle1[[#This Row],[corr_soma_z]]/1000</f>
        <v>1.25</v>
      </c>
    </row>
    <row r="500" spans="1:24" x14ac:dyDescent="0.35">
      <c r="A500" s="7" t="s">
        <v>15</v>
      </c>
      <c r="B500" s="7" t="s">
        <v>18</v>
      </c>
      <c r="C500" s="6">
        <v>139</v>
      </c>
      <c r="D500" s="5">
        <v>8144.47</v>
      </c>
      <c r="E500" s="5">
        <v>7655.96</v>
      </c>
      <c r="F500" s="5">
        <v>15350</v>
      </c>
      <c r="G500" s="5">
        <v>7683.11</v>
      </c>
      <c r="H500" s="5">
        <v>25189.399999999998</v>
      </c>
      <c r="I500" s="5">
        <v>1250</v>
      </c>
      <c r="J500" s="5">
        <v>8144.47</v>
      </c>
      <c r="K500" s="5">
        <v>7655.96</v>
      </c>
      <c r="L500" s="5">
        <v>15350</v>
      </c>
      <c r="M500" s="5">
        <v>7683.11</v>
      </c>
      <c r="N500" s="5">
        <v>25189.399999999998</v>
      </c>
      <c r="O500" s="5">
        <v>1250</v>
      </c>
      <c r="P500" s="8">
        <v>2.9339299999999999E-2</v>
      </c>
      <c r="Q500" s="8">
        <v>0.35676000000000002</v>
      </c>
      <c r="R500" s="8">
        <v>1.7054E-2</v>
      </c>
      <c r="S500" s="8">
        <f>Tabelle1[[#This Row],[corr_x]]/1000</f>
        <v>8.1444700000000001</v>
      </c>
      <c r="T500" s="8">
        <f>Tabelle1[[#This Row],[corr_y]]/1000</f>
        <v>7.6559600000000003</v>
      </c>
      <c r="U500" s="8">
        <f>Tabelle1[[#This Row],[corr_z]]/1000</f>
        <v>15.35</v>
      </c>
      <c r="V500" s="8">
        <f>Tabelle1[[#This Row],[corr_soma_x]]/1000</f>
        <v>7.6831100000000001</v>
      </c>
      <c r="W500" s="8">
        <f>Tabelle1[[#This Row],[corr_soma_y]]/1000</f>
        <v>25.189399999999999</v>
      </c>
      <c r="X500" s="8">
        <f>Tabelle1[[#This Row],[corr_soma_z]]/1000</f>
        <v>1.25</v>
      </c>
    </row>
    <row r="501" spans="1:24" x14ac:dyDescent="0.35">
      <c r="A501" s="7" t="s">
        <v>15</v>
      </c>
      <c r="B501" s="7" t="s">
        <v>18</v>
      </c>
      <c r="C501" s="6">
        <v>140</v>
      </c>
      <c r="D501" s="5">
        <v>8582.7100000000009</v>
      </c>
      <c r="E501" s="5">
        <v>7642.5999999999995</v>
      </c>
      <c r="F501" s="5">
        <v>15400</v>
      </c>
      <c r="G501" s="5">
        <v>7683.11</v>
      </c>
      <c r="H501" s="5">
        <v>25189.399999999998</v>
      </c>
      <c r="I501" s="5">
        <v>1250</v>
      </c>
      <c r="J501" s="5">
        <v>8582.7100000000009</v>
      </c>
      <c r="K501" s="5">
        <v>7642.5999999999995</v>
      </c>
      <c r="L501" s="5">
        <v>15400</v>
      </c>
      <c r="M501" s="5">
        <v>7683.11</v>
      </c>
      <c r="N501" s="5">
        <v>25189.399999999998</v>
      </c>
      <c r="O501" s="5">
        <v>1250</v>
      </c>
      <c r="P501" s="8">
        <v>6.3191700000000003E-2</v>
      </c>
      <c r="Q501" s="8">
        <v>0.46460000000000001</v>
      </c>
      <c r="R501" s="8">
        <v>2.4840600000000001E-2</v>
      </c>
      <c r="S501" s="8">
        <f>Tabelle1[[#This Row],[corr_x]]/1000</f>
        <v>8.5827100000000005</v>
      </c>
      <c r="T501" s="8">
        <f>Tabelle1[[#This Row],[corr_y]]/1000</f>
        <v>7.6425999999999998</v>
      </c>
      <c r="U501" s="8">
        <f>Tabelle1[[#This Row],[corr_z]]/1000</f>
        <v>15.4</v>
      </c>
      <c r="V501" s="8">
        <f>Tabelle1[[#This Row],[corr_soma_x]]/1000</f>
        <v>7.6831100000000001</v>
      </c>
      <c r="W501" s="8">
        <f>Tabelle1[[#This Row],[corr_soma_y]]/1000</f>
        <v>25.189399999999999</v>
      </c>
      <c r="X501" s="8">
        <f>Tabelle1[[#This Row],[corr_soma_z]]/1000</f>
        <v>1.25</v>
      </c>
    </row>
    <row r="502" spans="1:24" x14ac:dyDescent="0.35">
      <c r="A502" s="7" t="s">
        <v>15</v>
      </c>
      <c r="B502" s="7" t="s">
        <v>18</v>
      </c>
      <c r="C502" s="6">
        <v>141</v>
      </c>
      <c r="D502" s="5">
        <v>8569.119999999999</v>
      </c>
      <c r="E502" s="5">
        <v>8239.8399999999983</v>
      </c>
      <c r="F502" s="5">
        <v>15350</v>
      </c>
      <c r="G502" s="5">
        <v>7683.11</v>
      </c>
      <c r="H502" s="5">
        <v>25189.399999999998</v>
      </c>
      <c r="I502" s="5">
        <v>1250</v>
      </c>
      <c r="J502" s="5">
        <v>8569.119999999999</v>
      </c>
      <c r="K502" s="5">
        <v>8239.8399999999983</v>
      </c>
      <c r="L502" s="5">
        <v>15350</v>
      </c>
      <c r="M502" s="5">
        <v>7683.11</v>
      </c>
      <c r="N502" s="5">
        <v>25189.399999999998</v>
      </c>
      <c r="O502" s="5">
        <v>1250</v>
      </c>
      <c r="P502" s="8">
        <v>4.3328899999999997E-2</v>
      </c>
      <c r="Q502" s="8">
        <v>0.43543999999999999</v>
      </c>
      <c r="R502" s="8">
        <v>2.5696799999999999E-2</v>
      </c>
      <c r="S502" s="8">
        <f>Tabelle1[[#This Row],[corr_x]]/1000</f>
        <v>8.5691199999999998</v>
      </c>
      <c r="T502" s="8">
        <f>Tabelle1[[#This Row],[corr_y]]/1000</f>
        <v>8.2398399999999992</v>
      </c>
      <c r="U502" s="8">
        <f>Tabelle1[[#This Row],[corr_z]]/1000</f>
        <v>15.35</v>
      </c>
      <c r="V502" s="8">
        <f>Tabelle1[[#This Row],[corr_soma_x]]/1000</f>
        <v>7.6831100000000001</v>
      </c>
      <c r="W502" s="8">
        <f>Tabelle1[[#This Row],[corr_soma_y]]/1000</f>
        <v>25.189399999999999</v>
      </c>
      <c r="X502" s="8">
        <f>Tabelle1[[#This Row],[corr_soma_z]]/1000</f>
        <v>1.25</v>
      </c>
    </row>
    <row r="503" spans="1:24" x14ac:dyDescent="0.35">
      <c r="A503" s="7" t="s">
        <v>15</v>
      </c>
      <c r="B503" s="7" t="s">
        <v>19</v>
      </c>
      <c r="C503" s="6">
        <v>25</v>
      </c>
      <c r="D503" s="5">
        <v>7580.4349999999995</v>
      </c>
      <c r="E503" s="5">
        <v>4456.6350000000002</v>
      </c>
      <c r="F503" s="5">
        <v>15425</v>
      </c>
      <c r="G503" s="5">
        <v>7683.11</v>
      </c>
      <c r="H503" s="5">
        <v>25189.399999999998</v>
      </c>
      <c r="I503" s="5">
        <v>1250</v>
      </c>
      <c r="J503" s="5">
        <v>7580.4349999999995</v>
      </c>
      <c r="K503" s="5">
        <v>4456.6350000000002</v>
      </c>
      <c r="L503" s="5">
        <v>15425</v>
      </c>
      <c r="M503" s="5">
        <v>7683.11</v>
      </c>
      <c r="N503" s="5">
        <v>25189.399999999998</v>
      </c>
      <c r="O503" s="5">
        <v>1250</v>
      </c>
      <c r="P503" s="8">
        <v>1.9174E-2</v>
      </c>
      <c r="Q503" s="8">
        <v>1.2185299999999999</v>
      </c>
      <c r="R503" s="8">
        <v>8.8240399999999997E-2</v>
      </c>
      <c r="S503" s="8">
        <f>Tabelle1[[#This Row],[corr_x]]/1000</f>
        <v>7.5804349999999996</v>
      </c>
      <c r="T503" s="8">
        <f>Tabelle1[[#This Row],[corr_y]]/1000</f>
        <v>4.4566350000000003</v>
      </c>
      <c r="U503" s="8">
        <f>Tabelle1[[#This Row],[corr_z]]/1000</f>
        <v>15.425000000000001</v>
      </c>
      <c r="V503" s="8">
        <f>Tabelle1[[#This Row],[corr_soma_x]]/1000</f>
        <v>7.6831100000000001</v>
      </c>
      <c r="W503" s="8">
        <f>Tabelle1[[#This Row],[corr_soma_y]]/1000</f>
        <v>25.189399999999999</v>
      </c>
      <c r="X503" s="8">
        <f>Tabelle1[[#This Row],[corr_soma_z]]/1000</f>
        <v>1.25</v>
      </c>
    </row>
    <row r="504" spans="1:24" x14ac:dyDescent="0.35">
      <c r="A504" s="7" t="s">
        <v>15</v>
      </c>
      <c r="B504" s="7" t="s">
        <v>18</v>
      </c>
      <c r="C504" s="6">
        <v>142</v>
      </c>
      <c r="D504" s="5">
        <v>7728.4800000000005</v>
      </c>
      <c r="E504" s="5">
        <v>4781.71</v>
      </c>
      <c r="F504" s="5">
        <v>15650</v>
      </c>
      <c r="G504" s="5">
        <v>7683.11</v>
      </c>
      <c r="H504" s="5">
        <v>25189.399999999998</v>
      </c>
      <c r="I504" s="5">
        <v>1250</v>
      </c>
      <c r="J504" s="5">
        <v>7728.4800000000005</v>
      </c>
      <c r="K504" s="5">
        <v>4781.71</v>
      </c>
      <c r="L504" s="5">
        <v>15650</v>
      </c>
      <c r="M504" s="5">
        <v>7683.11</v>
      </c>
      <c r="N504" s="5">
        <v>25189.399999999998</v>
      </c>
      <c r="O504" s="5">
        <v>1250</v>
      </c>
      <c r="P504" s="8">
        <v>2.7030999999999999E-2</v>
      </c>
      <c r="Q504" s="8">
        <v>1.0691900000000001</v>
      </c>
      <c r="R504" s="8">
        <v>4.9064200000000002E-2</v>
      </c>
      <c r="S504" s="8">
        <f>Tabelle1[[#This Row],[corr_x]]/1000</f>
        <v>7.7284800000000002</v>
      </c>
      <c r="T504" s="8">
        <f>Tabelle1[[#This Row],[corr_y]]/1000</f>
        <v>4.7817100000000003</v>
      </c>
      <c r="U504" s="8">
        <f>Tabelle1[[#This Row],[corr_z]]/1000</f>
        <v>15.65</v>
      </c>
      <c r="V504" s="8">
        <f>Tabelle1[[#This Row],[corr_soma_x]]/1000</f>
        <v>7.6831100000000001</v>
      </c>
      <c r="W504" s="8">
        <f>Tabelle1[[#This Row],[corr_soma_y]]/1000</f>
        <v>25.189399999999999</v>
      </c>
      <c r="X504" s="8">
        <f>Tabelle1[[#This Row],[corr_soma_z]]/1000</f>
        <v>1.25</v>
      </c>
    </row>
    <row r="505" spans="1:24" x14ac:dyDescent="0.35">
      <c r="A505" s="7" t="s">
        <v>15</v>
      </c>
      <c r="B505" s="7" t="s">
        <v>18</v>
      </c>
      <c r="C505" s="6">
        <v>143</v>
      </c>
      <c r="D505" s="5">
        <v>8060.0199999999995</v>
      </c>
      <c r="E505" s="5">
        <v>4851.16</v>
      </c>
      <c r="F505" s="5">
        <v>15600</v>
      </c>
      <c r="G505" s="5">
        <v>7683.11</v>
      </c>
      <c r="H505" s="5">
        <v>25189.399999999998</v>
      </c>
      <c r="I505" s="5">
        <v>1250</v>
      </c>
      <c r="J505" s="5">
        <v>8060.0199999999995</v>
      </c>
      <c r="K505" s="5">
        <v>4851.16</v>
      </c>
      <c r="L505" s="5">
        <v>15600</v>
      </c>
      <c r="M505" s="5">
        <v>7683.11</v>
      </c>
      <c r="N505" s="5">
        <v>25189.399999999998</v>
      </c>
      <c r="O505" s="5">
        <v>1250</v>
      </c>
      <c r="P505" s="8">
        <v>5.6923399999999999E-2</v>
      </c>
      <c r="Q505" s="8">
        <v>1.0443899999999999</v>
      </c>
      <c r="R505" s="8">
        <v>5.88932E-2</v>
      </c>
      <c r="S505" s="8">
        <f>Tabelle1[[#This Row],[corr_x]]/1000</f>
        <v>8.0600199999999997</v>
      </c>
      <c r="T505" s="8">
        <f>Tabelle1[[#This Row],[corr_y]]/1000</f>
        <v>4.8511600000000001</v>
      </c>
      <c r="U505" s="8">
        <f>Tabelle1[[#This Row],[corr_z]]/1000</f>
        <v>15.6</v>
      </c>
      <c r="V505" s="8">
        <f>Tabelle1[[#This Row],[corr_soma_x]]/1000</f>
        <v>7.6831100000000001</v>
      </c>
      <c r="W505" s="8">
        <f>Tabelle1[[#This Row],[corr_soma_y]]/1000</f>
        <v>25.189399999999999</v>
      </c>
      <c r="X505" s="8">
        <f>Tabelle1[[#This Row],[corr_soma_z]]/1000</f>
        <v>1.25</v>
      </c>
    </row>
    <row r="506" spans="1:24" x14ac:dyDescent="0.35">
      <c r="A506" s="7" t="s">
        <v>15</v>
      </c>
      <c r="B506" s="7" t="s">
        <v>18</v>
      </c>
      <c r="C506" s="6">
        <v>144</v>
      </c>
      <c r="D506" s="5">
        <v>7910.1450000000004</v>
      </c>
      <c r="E506" s="5">
        <v>4253.0099999999993</v>
      </c>
      <c r="F506" s="5">
        <v>15575</v>
      </c>
      <c r="G506" s="5">
        <v>7683.11</v>
      </c>
      <c r="H506" s="5">
        <v>25189.399999999998</v>
      </c>
      <c r="I506" s="5">
        <v>1250</v>
      </c>
      <c r="J506" s="5">
        <v>7910.1450000000004</v>
      </c>
      <c r="K506" s="5">
        <v>4253.0099999999993</v>
      </c>
      <c r="L506" s="5">
        <v>15575</v>
      </c>
      <c r="M506" s="5">
        <v>7683.11</v>
      </c>
      <c r="N506" s="5">
        <v>25189.399999999998</v>
      </c>
      <c r="O506" s="5">
        <v>1250</v>
      </c>
      <c r="P506" s="8">
        <v>4.1737499999999997E-2</v>
      </c>
      <c r="Q506" s="8">
        <v>0.84867700000000001</v>
      </c>
      <c r="R506" s="8">
        <v>4.5332299999999999E-2</v>
      </c>
      <c r="S506" s="8">
        <f>Tabelle1[[#This Row],[corr_x]]/1000</f>
        <v>7.9101450000000009</v>
      </c>
      <c r="T506" s="8">
        <f>Tabelle1[[#This Row],[corr_y]]/1000</f>
        <v>4.2530099999999997</v>
      </c>
      <c r="U506" s="8">
        <f>Tabelle1[[#This Row],[corr_z]]/1000</f>
        <v>15.574999999999999</v>
      </c>
      <c r="V506" s="8">
        <f>Tabelle1[[#This Row],[corr_soma_x]]/1000</f>
        <v>7.6831100000000001</v>
      </c>
      <c r="W506" s="8">
        <f>Tabelle1[[#This Row],[corr_soma_y]]/1000</f>
        <v>25.189399999999999</v>
      </c>
      <c r="X506" s="8">
        <f>Tabelle1[[#This Row],[corr_soma_z]]/1000</f>
        <v>1.25</v>
      </c>
    </row>
    <row r="507" spans="1:24" x14ac:dyDescent="0.35">
      <c r="A507" s="7" t="s">
        <v>15</v>
      </c>
      <c r="B507" s="7" t="s">
        <v>19</v>
      </c>
      <c r="C507" s="6">
        <v>26</v>
      </c>
      <c r="D507" s="5">
        <v>8226.7100000000009</v>
      </c>
      <c r="E507" s="5">
        <v>3312.11</v>
      </c>
      <c r="F507" s="5">
        <v>15900</v>
      </c>
      <c r="G507" s="5">
        <v>7683.11</v>
      </c>
      <c r="H507" s="5">
        <v>25189.399999999998</v>
      </c>
      <c r="I507" s="5">
        <v>1250</v>
      </c>
      <c r="J507" s="5">
        <v>8226.7100000000009</v>
      </c>
      <c r="K507" s="5">
        <v>3312.11</v>
      </c>
      <c r="L507" s="5">
        <v>15900</v>
      </c>
      <c r="M507" s="5">
        <v>7683.11</v>
      </c>
      <c r="N507" s="5">
        <v>25189.399999999998</v>
      </c>
      <c r="O507" s="5">
        <v>1250</v>
      </c>
      <c r="P507" s="8">
        <v>4.4900099999999998E-2</v>
      </c>
      <c r="Q507" s="8">
        <v>0.89661299999999999</v>
      </c>
      <c r="R507" s="8">
        <v>7.0272899999999999E-2</v>
      </c>
      <c r="S507" s="8">
        <f>Tabelle1[[#This Row],[corr_x]]/1000</f>
        <v>8.2267100000000006</v>
      </c>
      <c r="T507" s="8">
        <f>Tabelle1[[#This Row],[corr_y]]/1000</f>
        <v>3.3121100000000001</v>
      </c>
      <c r="U507" s="8">
        <f>Tabelle1[[#This Row],[corr_z]]/1000</f>
        <v>15.9</v>
      </c>
      <c r="V507" s="8">
        <f>Tabelle1[[#This Row],[corr_soma_x]]/1000</f>
        <v>7.6831100000000001</v>
      </c>
      <c r="W507" s="8">
        <f>Tabelle1[[#This Row],[corr_soma_y]]/1000</f>
        <v>25.189399999999999</v>
      </c>
      <c r="X507" s="8">
        <f>Tabelle1[[#This Row],[corr_soma_z]]/1000</f>
        <v>1.25</v>
      </c>
    </row>
    <row r="508" spans="1:24" x14ac:dyDescent="0.35">
      <c r="A508" s="7" t="s">
        <v>15</v>
      </c>
      <c r="B508" s="7" t="s">
        <v>18</v>
      </c>
      <c r="C508" s="6">
        <v>145</v>
      </c>
      <c r="D508" s="5">
        <v>7995.59</v>
      </c>
      <c r="E508" s="5">
        <v>3596.335</v>
      </c>
      <c r="F508" s="5">
        <v>15625</v>
      </c>
      <c r="G508" s="5">
        <v>7683.11</v>
      </c>
      <c r="H508" s="5">
        <v>25189.399999999998</v>
      </c>
      <c r="I508" s="5">
        <v>1250</v>
      </c>
      <c r="J508" s="5">
        <v>7995.59</v>
      </c>
      <c r="K508" s="5">
        <v>3596.335</v>
      </c>
      <c r="L508" s="5">
        <v>15625</v>
      </c>
      <c r="M508" s="5">
        <v>7683.11</v>
      </c>
      <c r="N508" s="5">
        <v>25189.399999999998</v>
      </c>
      <c r="O508" s="5">
        <v>1250</v>
      </c>
      <c r="P508" s="8">
        <v>2.3529000000000001E-2</v>
      </c>
      <c r="Q508" s="8">
        <v>2.8914800000000001</v>
      </c>
      <c r="R508" s="8">
        <v>0.232845</v>
      </c>
      <c r="S508" s="8">
        <f>Tabelle1[[#This Row],[corr_x]]/1000</f>
        <v>7.99559</v>
      </c>
      <c r="T508" s="8">
        <f>Tabelle1[[#This Row],[corr_y]]/1000</f>
        <v>3.5963349999999998</v>
      </c>
      <c r="U508" s="8">
        <f>Tabelle1[[#This Row],[corr_z]]/1000</f>
        <v>15.625</v>
      </c>
      <c r="V508" s="8">
        <f>Tabelle1[[#This Row],[corr_soma_x]]/1000</f>
        <v>7.6831100000000001</v>
      </c>
      <c r="W508" s="8">
        <f>Tabelle1[[#This Row],[corr_soma_y]]/1000</f>
        <v>25.189399999999999</v>
      </c>
      <c r="X508" s="8">
        <f>Tabelle1[[#This Row],[corr_soma_z]]/1000</f>
        <v>1.25</v>
      </c>
    </row>
    <row r="509" spans="1:24" x14ac:dyDescent="0.35">
      <c r="A509" s="7" t="s">
        <v>15</v>
      </c>
      <c r="B509" s="7" t="s">
        <v>18</v>
      </c>
      <c r="C509" s="6">
        <v>146</v>
      </c>
      <c r="D509" s="5">
        <v>7647.2750000000005</v>
      </c>
      <c r="E509" s="5">
        <v>2402.1400000000003</v>
      </c>
      <c r="F509" s="5">
        <v>16225.000000000002</v>
      </c>
      <c r="G509" s="5">
        <v>7683.11</v>
      </c>
      <c r="H509" s="5">
        <v>25189.399999999998</v>
      </c>
      <c r="I509" s="5">
        <v>1250</v>
      </c>
      <c r="J509" s="5">
        <v>7647.2750000000005</v>
      </c>
      <c r="K509" s="5">
        <v>2402.1400000000003</v>
      </c>
      <c r="L509" s="5">
        <v>16225.000000000002</v>
      </c>
      <c r="M509" s="5">
        <v>7683.11</v>
      </c>
      <c r="N509" s="5">
        <v>25189.399999999998</v>
      </c>
      <c r="O509" s="5">
        <v>1250</v>
      </c>
      <c r="P509" s="8">
        <v>5.5580699999999997E-2</v>
      </c>
      <c r="Q509" s="8">
        <v>1.4122399999999999</v>
      </c>
      <c r="R509" s="8">
        <v>8.8055900000000006E-2</v>
      </c>
      <c r="S509" s="8">
        <f>Tabelle1[[#This Row],[corr_x]]/1000</f>
        <v>7.6472750000000005</v>
      </c>
      <c r="T509" s="8">
        <f>Tabelle1[[#This Row],[corr_y]]/1000</f>
        <v>2.4021400000000002</v>
      </c>
      <c r="U509" s="8">
        <f>Tabelle1[[#This Row],[corr_z]]/1000</f>
        <v>16.225000000000001</v>
      </c>
      <c r="V509" s="8">
        <f>Tabelle1[[#This Row],[corr_soma_x]]/1000</f>
        <v>7.6831100000000001</v>
      </c>
      <c r="W509" s="8">
        <f>Tabelle1[[#This Row],[corr_soma_y]]/1000</f>
        <v>25.189399999999999</v>
      </c>
      <c r="X509" s="8">
        <f>Tabelle1[[#This Row],[corr_soma_z]]/1000</f>
        <v>1.25</v>
      </c>
    </row>
    <row r="510" spans="1:24" x14ac:dyDescent="0.35">
      <c r="A510" s="7" t="s">
        <v>15</v>
      </c>
      <c r="B510" s="7" t="s">
        <v>18</v>
      </c>
      <c r="C510" s="6">
        <v>147</v>
      </c>
      <c r="D510" s="5">
        <v>7961.71</v>
      </c>
      <c r="E510" s="5">
        <v>2633.14</v>
      </c>
      <c r="F510" s="5">
        <v>16350.000000000002</v>
      </c>
      <c r="G510" s="5">
        <v>7683.11</v>
      </c>
      <c r="H510" s="5">
        <v>25189.399999999998</v>
      </c>
      <c r="I510" s="5">
        <v>1250</v>
      </c>
      <c r="J510" s="5">
        <v>7961.71</v>
      </c>
      <c r="K510" s="5">
        <v>2633.14</v>
      </c>
      <c r="L510" s="5">
        <v>16350.000000000002</v>
      </c>
      <c r="M510" s="5">
        <v>7683.11</v>
      </c>
      <c r="N510" s="5">
        <v>25189.399999999998</v>
      </c>
      <c r="O510" s="5">
        <v>1250</v>
      </c>
      <c r="P510" s="8">
        <v>5.1602700000000001E-2</v>
      </c>
      <c r="Q510" s="8">
        <v>0.88571999999999995</v>
      </c>
      <c r="R510" s="8">
        <v>4.41205E-2</v>
      </c>
      <c r="S510" s="8">
        <f>Tabelle1[[#This Row],[corr_x]]/1000</f>
        <v>7.9617100000000001</v>
      </c>
      <c r="T510" s="8">
        <f>Tabelle1[[#This Row],[corr_y]]/1000</f>
        <v>2.63314</v>
      </c>
      <c r="U510" s="8">
        <f>Tabelle1[[#This Row],[corr_z]]/1000</f>
        <v>16.350000000000001</v>
      </c>
      <c r="V510" s="8">
        <f>Tabelle1[[#This Row],[corr_soma_x]]/1000</f>
        <v>7.6831100000000001</v>
      </c>
      <c r="W510" s="8">
        <f>Tabelle1[[#This Row],[corr_soma_y]]/1000</f>
        <v>25.189399999999999</v>
      </c>
      <c r="X510" s="8">
        <f>Tabelle1[[#This Row],[corr_soma_z]]/1000</f>
        <v>1.25</v>
      </c>
    </row>
    <row r="511" spans="1:24" x14ac:dyDescent="0.35">
      <c r="A511" s="7" t="s">
        <v>15</v>
      </c>
      <c r="B511" s="7" t="s">
        <v>18</v>
      </c>
      <c r="C511" s="6">
        <v>148</v>
      </c>
      <c r="D511" s="5">
        <v>7803.15</v>
      </c>
      <c r="E511" s="5">
        <v>2163.6099999999997</v>
      </c>
      <c r="F511" s="5">
        <v>16400</v>
      </c>
      <c r="G511" s="5">
        <v>7683.11</v>
      </c>
      <c r="H511" s="5">
        <v>25189.399999999998</v>
      </c>
      <c r="I511" s="5">
        <v>1250</v>
      </c>
      <c r="J511" s="5">
        <v>7803.15</v>
      </c>
      <c r="K511" s="5">
        <v>2163.6099999999997</v>
      </c>
      <c r="L511" s="5">
        <v>16400</v>
      </c>
      <c r="M511" s="5">
        <v>7683.11</v>
      </c>
      <c r="N511" s="5">
        <v>25189.399999999998</v>
      </c>
      <c r="O511" s="5">
        <v>1250</v>
      </c>
      <c r="P511" s="8">
        <v>2.45679E-2</v>
      </c>
      <c r="Q511" s="8">
        <v>0.61908300000000005</v>
      </c>
      <c r="R511" s="8">
        <v>2.5774399999999999E-2</v>
      </c>
      <c r="S511" s="8">
        <f>Tabelle1[[#This Row],[corr_x]]/1000</f>
        <v>7.8031499999999996</v>
      </c>
      <c r="T511" s="8">
        <f>Tabelle1[[#This Row],[corr_y]]/1000</f>
        <v>2.1636099999999998</v>
      </c>
      <c r="U511" s="8">
        <f>Tabelle1[[#This Row],[corr_z]]/1000</f>
        <v>16.399999999999999</v>
      </c>
      <c r="V511" s="8">
        <f>Tabelle1[[#This Row],[corr_soma_x]]/1000</f>
        <v>7.6831100000000001</v>
      </c>
      <c r="W511" s="8">
        <f>Tabelle1[[#This Row],[corr_soma_y]]/1000</f>
        <v>25.189399999999999</v>
      </c>
      <c r="X511" s="8">
        <f>Tabelle1[[#This Row],[corr_soma_z]]/1000</f>
        <v>1.25</v>
      </c>
    </row>
    <row r="512" spans="1:24" x14ac:dyDescent="0.35">
      <c r="A512" s="7" t="s">
        <v>15</v>
      </c>
      <c r="B512" s="7" t="s">
        <v>18</v>
      </c>
      <c r="C512" s="6">
        <v>149</v>
      </c>
      <c r="D512" s="5">
        <v>8096.3249999999998</v>
      </c>
      <c r="E512" s="5">
        <v>3219.7950000000001</v>
      </c>
      <c r="F512" s="5">
        <v>16424.999999999996</v>
      </c>
      <c r="G512" s="5">
        <v>7683.11</v>
      </c>
      <c r="H512" s="5">
        <v>25189.399999999998</v>
      </c>
      <c r="I512" s="5">
        <v>1250</v>
      </c>
      <c r="J512" s="5">
        <v>8096.3249999999998</v>
      </c>
      <c r="K512" s="5">
        <v>3219.7950000000001</v>
      </c>
      <c r="L512" s="5">
        <v>16424.999999999996</v>
      </c>
      <c r="M512" s="5">
        <v>7683.11</v>
      </c>
      <c r="N512" s="5">
        <v>25189.399999999998</v>
      </c>
      <c r="O512" s="5">
        <v>1250</v>
      </c>
      <c r="P512" s="8">
        <v>3.0803199999999999E-2</v>
      </c>
      <c r="Q512" s="8">
        <v>0.87131800000000004</v>
      </c>
      <c r="R512" s="8">
        <v>4.2093199999999997E-2</v>
      </c>
      <c r="S512" s="8">
        <f>Tabelle1[[#This Row],[corr_x]]/1000</f>
        <v>8.0963250000000002</v>
      </c>
      <c r="T512" s="8">
        <f>Tabelle1[[#This Row],[corr_y]]/1000</f>
        <v>3.219795</v>
      </c>
      <c r="U512" s="8">
        <f>Tabelle1[[#This Row],[corr_z]]/1000</f>
        <v>16.424999999999997</v>
      </c>
      <c r="V512" s="8">
        <f>Tabelle1[[#This Row],[corr_soma_x]]/1000</f>
        <v>7.6831100000000001</v>
      </c>
      <c r="W512" s="8">
        <f>Tabelle1[[#This Row],[corr_soma_y]]/1000</f>
        <v>25.189399999999999</v>
      </c>
      <c r="X512" s="8">
        <f>Tabelle1[[#This Row],[corr_soma_z]]/1000</f>
        <v>1.25</v>
      </c>
    </row>
    <row r="513" spans="1:24" x14ac:dyDescent="0.35">
      <c r="A513" s="7" t="s">
        <v>15</v>
      </c>
      <c r="B513" s="7" t="s">
        <v>19</v>
      </c>
      <c r="C513" s="6">
        <v>27</v>
      </c>
      <c r="D513" s="5">
        <v>8028.14</v>
      </c>
      <c r="E513" s="5">
        <v>3468.96</v>
      </c>
      <c r="F513" s="5">
        <v>16450</v>
      </c>
      <c r="G513" s="5">
        <v>7683.11</v>
      </c>
      <c r="H513" s="5">
        <v>25189.399999999998</v>
      </c>
      <c r="I513" s="5">
        <v>1250</v>
      </c>
      <c r="J513" s="5">
        <v>8028.14</v>
      </c>
      <c r="K513" s="5">
        <v>3468.96</v>
      </c>
      <c r="L513" s="5">
        <v>16450</v>
      </c>
      <c r="M513" s="5">
        <v>7683.11</v>
      </c>
      <c r="N513" s="5">
        <v>25189.399999999998</v>
      </c>
      <c r="O513" s="5">
        <v>1250</v>
      </c>
      <c r="P513" s="8">
        <v>2.3026999999999999E-2</v>
      </c>
      <c r="Q513" s="8">
        <v>2.9133900000000001</v>
      </c>
      <c r="R513" s="8">
        <v>0.24598</v>
      </c>
      <c r="S513" s="8">
        <f>Tabelle1[[#This Row],[corr_x]]/1000</f>
        <v>8.0281400000000005</v>
      </c>
      <c r="T513" s="8">
        <f>Tabelle1[[#This Row],[corr_y]]/1000</f>
        <v>3.46896</v>
      </c>
      <c r="U513" s="8">
        <f>Tabelle1[[#This Row],[corr_z]]/1000</f>
        <v>16.45</v>
      </c>
      <c r="V513" s="8">
        <f>Tabelle1[[#This Row],[corr_soma_x]]/1000</f>
        <v>7.6831100000000001</v>
      </c>
      <c r="W513" s="8">
        <f>Tabelle1[[#This Row],[corr_soma_y]]/1000</f>
        <v>25.189399999999999</v>
      </c>
      <c r="X513" s="8">
        <f>Tabelle1[[#This Row],[corr_soma_z]]/1000</f>
        <v>1.25</v>
      </c>
    </row>
    <row r="514" spans="1:24" x14ac:dyDescent="0.35">
      <c r="A514" s="7" t="s">
        <v>15</v>
      </c>
      <c r="B514" s="7" t="s">
        <v>18</v>
      </c>
      <c r="C514" s="6">
        <v>150</v>
      </c>
      <c r="D514" s="5">
        <v>8094.6200000000008</v>
      </c>
      <c r="E514" s="5">
        <v>3095.5499999999997</v>
      </c>
      <c r="F514" s="5">
        <v>16450</v>
      </c>
      <c r="G514" s="5">
        <v>7683.11</v>
      </c>
      <c r="H514" s="5">
        <v>25189.399999999998</v>
      </c>
      <c r="I514" s="5">
        <v>1250</v>
      </c>
      <c r="J514" s="5">
        <v>8094.6200000000008</v>
      </c>
      <c r="K514" s="5">
        <v>3095.5499999999997</v>
      </c>
      <c r="L514" s="5">
        <v>16450</v>
      </c>
      <c r="M514" s="5">
        <v>7683.11</v>
      </c>
      <c r="N514" s="5">
        <v>25189.399999999998</v>
      </c>
      <c r="O514" s="5">
        <v>1250</v>
      </c>
      <c r="P514" s="8">
        <v>2.3916900000000001E-2</v>
      </c>
      <c r="Q514" s="8">
        <v>1.21156</v>
      </c>
      <c r="R514" s="8">
        <v>8.8366100000000003E-2</v>
      </c>
      <c r="S514" s="8">
        <f>Tabelle1[[#This Row],[corr_x]]/1000</f>
        <v>8.0946200000000008</v>
      </c>
      <c r="T514" s="8">
        <f>Tabelle1[[#This Row],[corr_y]]/1000</f>
        <v>3.0955499999999998</v>
      </c>
      <c r="U514" s="8">
        <f>Tabelle1[[#This Row],[corr_z]]/1000</f>
        <v>16.45</v>
      </c>
      <c r="V514" s="8">
        <f>Tabelle1[[#This Row],[corr_soma_x]]/1000</f>
        <v>7.6831100000000001</v>
      </c>
      <c r="W514" s="8">
        <f>Tabelle1[[#This Row],[corr_soma_y]]/1000</f>
        <v>25.189399999999999</v>
      </c>
      <c r="X514" s="8">
        <f>Tabelle1[[#This Row],[corr_soma_z]]/1000</f>
        <v>1.25</v>
      </c>
    </row>
    <row r="515" spans="1:24" x14ac:dyDescent="0.35">
      <c r="A515" s="7" t="s">
        <v>15</v>
      </c>
      <c r="B515" s="7" t="s">
        <v>19</v>
      </c>
      <c r="C515" s="6">
        <v>28</v>
      </c>
      <c r="D515" s="5">
        <v>8010.0099999999993</v>
      </c>
      <c r="E515" s="5">
        <v>1494.37</v>
      </c>
      <c r="F515" s="5">
        <v>16200</v>
      </c>
      <c r="G515" s="5">
        <v>7683.11</v>
      </c>
      <c r="H515" s="5">
        <v>25189.399999999998</v>
      </c>
      <c r="I515" s="5">
        <v>1250</v>
      </c>
      <c r="J515" s="5">
        <v>8010.0099999999993</v>
      </c>
      <c r="K515" s="5">
        <v>1494.37</v>
      </c>
      <c r="L515" s="5">
        <v>16200</v>
      </c>
      <c r="M515" s="5">
        <v>7683.11</v>
      </c>
      <c r="N515" s="5">
        <v>25189.399999999998</v>
      </c>
      <c r="O515" s="5">
        <v>1250</v>
      </c>
      <c r="P515" s="8">
        <v>2.1323399999999999E-2</v>
      </c>
      <c r="Q515" s="8">
        <v>0.74606399999999995</v>
      </c>
      <c r="R515" s="8">
        <v>7.7522900000000006E-2</v>
      </c>
      <c r="S515" s="8">
        <f>Tabelle1[[#This Row],[corr_x]]/1000</f>
        <v>8.0100099999999994</v>
      </c>
      <c r="T515" s="8">
        <f>Tabelle1[[#This Row],[corr_y]]/1000</f>
        <v>1.49437</v>
      </c>
      <c r="U515" s="8">
        <f>Tabelle1[[#This Row],[corr_z]]/1000</f>
        <v>16.2</v>
      </c>
      <c r="V515" s="8">
        <f>Tabelle1[[#This Row],[corr_soma_x]]/1000</f>
        <v>7.6831100000000001</v>
      </c>
      <c r="W515" s="8">
        <f>Tabelle1[[#This Row],[corr_soma_y]]/1000</f>
        <v>25.189399999999999</v>
      </c>
      <c r="X515" s="8">
        <f>Tabelle1[[#This Row],[corr_soma_z]]/1000</f>
        <v>1.25</v>
      </c>
    </row>
    <row r="516" spans="1:24" x14ac:dyDescent="0.35">
      <c r="A516" s="7" t="s">
        <v>16</v>
      </c>
      <c r="B516" s="7" t="s">
        <v>18</v>
      </c>
      <c r="C516" s="6">
        <v>1</v>
      </c>
      <c r="D516" s="2">
        <v>3287.395</v>
      </c>
      <c r="E516" s="2">
        <v>4524.8849999999993</v>
      </c>
      <c r="F516" s="2">
        <v>275</v>
      </c>
      <c r="G516" s="2">
        <v>3919.27</v>
      </c>
      <c r="H516" s="2">
        <v>5892.69</v>
      </c>
      <c r="I516" s="2">
        <v>250</v>
      </c>
      <c r="J516" s="2">
        <v>3287.395</v>
      </c>
      <c r="K516" s="2">
        <v>4524.8849999999993</v>
      </c>
      <c r="L516" s="2">
        <v>275</v>
      </c>
      <c r="M516" s="2">
        <v>3919.27</v>
      </c>
      <c r="N516" s="2">
        <v>5892.69</v>
      </c>
      <c r="O516" s="2">
        <v>250</v>
      </c>
      <c r="P516" s="8">
        <v>8.15578E-2</v>
      </c>
      <c r="Q516" s="8">
        <v>1.2366900000000001</v>
      </c>
      <c r="R516" s="8">
        <v>7.4633599999999994E-2</v>
      </c>
      <c r="S516" s="8">
        <f>Tabelle1[[#This Row],[corr_x]]/1000</f>
        <v>3.2873950000000001</v>
      </c>
      <c r="T516" s="8">
        <f>Tabelle1[[#This Row],[corr_y]]/1000</f>
        <v>4.5248849999999994</v>
      </c>
      <c r="U516" s="8">
        <f>Tabelle1[[#This Row],[corr_z]]/1000</f>
        <v>0.27500000000000002</v>
      </c>
      <c r="V516" s="8">
        <f>Tabelle1[[#This Row],[corr_soma_x]]/1000</f>
        <v>3.91927</v>
      </c>
      <c r="W516" s="8">
        <f>Tabelle1[[#This Row],[corr_soma_y]]/1000</f>
        <v>5.89269</v>
      </c>
      <c r="X516" s="8">
        <f>Tabelle1[[#This Row],[corr_soma_z]]/1000</f>
        <v>0.25</v>
      </c>
    </row>
    <row r="517" spans="1:24" x14ac:dyDescent="0.35">
      <c r="A517" s="7" t="s">
        <v>16</v>
      </c>
      <c r="B517" s="7" t="s">
        <v>18</v>
      </c>
      <c r="C517" s="6">
        <v>2</v>
      </c>
      <c r="D517" s="2">
        <v>2784.97</v>
      </c>
      <c r="E517" s="2">
        <v>3579.8150000000001</v>
      </c>
      <c r="F517" s="2">
        <v>75.000000000000014</v>
      </c>
      <c r="G517" s="2">
        <v>3919.27</v>
      </c>
      <c r="H517" s="2">
        <v>5892.69</v>
      </c>
      <c r="I517" s="2">
        <v>250</v>
      </c>
      <c r="J517" s="2">
        <v>2784.97</v>
      </c>
      <c r="K517" s="2">
        <v>3579.8150000000001</v>
      </c>
      <c r="L517" s="2">
        <v>75.000000000000014</v>
      </c>
      <c r="M517" s="2">
        <v>3919.27</v>
      </c>
      <c r="N517" s="2">
        <v>5892.69</v>
      </c>
      <c r="O517" s="2">
        <v>250</v>
      </c>
      <c r="P517" s="8">
        <v>2.23871E-2</v>
      </c>
      <c r="Q517" s="8">
        <v>1.3253200000000001</v>
      </c>
      <c r="R517" s="8">
        <v>6.2904600000000005E-2</v>
      </c>
      <c r="S517" s="8">
        <f>Tabelle1[[#This Row],[corr_x]]/1000</f>
        <v>2.7849699999999999</v>
      </c>
      <c r="T517" s="8">
        <f>Tabelle1[[#This Row],[corr_y]]/1000</f>
        <v>3.579815</v>
      </c>
      <c r="U517" s="8">
        <f>Tabelle1[[#This Row],[corr_z]]/1000</f>
        <v>7.5000000000000011E-2</v>
      </c>
      <c r="V517" s="8">
        <f>Tabelle1[[#This Row],[corr_soma_x]]/1000</f>
        <v>3.91927</v>
      </c>
      <c r="W517" s="8">
        <f>Tabelle1[[#This Row],[corr_soma_y]]/1000</f>
        <v>5.89269</v>
      </c>
      <c r="X517" s="8">
        <f>Tabelle1[[#This Row],[corr_soma_z]]/1000</f>
        <v>0.25</v>
      </c>
    </row>
    <row r="518" spans="1:24" x14ac:dyDescent="0.35">
      <c r="A518" s="7" t="s">
        <v>16</v>
      </c>
      <c r="B518" s="7" t="s">
        <v>18</v>
      </c>
      <c r="C518" s="6">
        <v>3</v>
      </c>
      <c r="D518" s="2">
        <v>3381.8700000000003</v>
      </c>
      <c r="E518" s="2">
        <v>4077.73</v>
      </c>
      <c r="F518" s="2">
        <v>750</v>
      </c>
      <c r="G518" s="2">
        <v>3919.27</v>
      </c>
      <c r="H518" s="2">
        <v>5892.69</v>
      </c>
      <c r="I518" s="2">
        <v>250</v>
      </c>
      <c r="J518" s="2">
        <v>3381.8700000000003</v>
      </c>
      <c r="K518" s="2">
        <v>4077.73</v>
      </c>
      <c r="L518" s="2">
        <v>750</v>
      </c>
      <c r="M518" s="2">
        <v>3919.27</v>
      </c>
      <c r="N518" s="2">
        <v>5892.69</v>
      </c>
      <c r="O518" s="2">
        <v>250</v>
      </c>
      <c r="P518" s="8">
        <v>6.0946300000000002E-2</v>
      </c>
      <c r="Q518" s="8">
        <v>0.71372500000000005</v>
      </c>
      <c r="R518" s="8">
        <v>2.6312800000000001E-2</v>
      </c>
      <c r="S518" s="8">
        <f>Tabelle1[[#This Row],[corr_x]]/1000</f>
        <v>3.3818700000000002</v>
      </c>
      <c r="T518" s="8">
        <f>Tabelle1[[#This Row],[corr_y]]/1000</f>
        <v>4.0777299999999999</v>
      </c>
      <c r="U518" s="8">
        <f>Tabelle1[[#This Row],[corr_z]]/1000</f>
        <v>0.75</v>
      </c>
      <c r="V518" s="8">
        <f>Tabelle1[[#This Row],[corr_soma_x]]/1000</f>
        <v>3.91927</v>
      </c>
      <c r="W518" s="8">
        <f>Tabelle1[[#This Row],[corr_soma_y]]/1000</f>
        <v>5.89269</v>
      </c>
      <c r="X518" s="8">
        <f>Tabelle1[[#This Row],[corr_soma_z]]/1000</f>
        <v>0.25</v>
      </c>
    </row>
    <row r="519" spans="1:24" x14ac:dyDescent="0.35">
      <c r="A519" s="7" t="s">
        <v>16</v>
      </c>
      <c r="B519" s="7" t="s">
        <v>19</v>
      </c>
      <c r="C519" s="6">
        <v>1</v>
      </c>
      <c r="D519" s="2">
        <v>3177.645</v>
      </c>
      <c r="E519" s="2">
        <v>4196.97</v>
      </c>
      <c r="F519" s="2">
        <v>1075.0000000000002</v>
      </c>
      <c r="G519" s="2">
        <v>3919.27</v>
      </c>
      <c r="H519" s="2">
        <v>5892.69</v>
      </c>
      <c r="I519" s="2">
        <v>250</v>
      </c>
      <c r="J519" s="2">
        <v>3177.645</v>
      </c>
      <c r="K519" s="2">
        <v>4196.97</v>
      </c>
      <c r="L519" s="2">
        <v>1075.0000000000002</v>
      </c>
      <c r="M519" s="2">
        <v>3919.27</v>
      </c>
      <c r="N519" s="2">
        <v>5892.69</v>
      </c>
      <c r="O519" s="2">
        <v>250</v>
      </c>
      <c r="P519" s="8">
        <v>3.6185599999999998E-2</v>
      </c>
      <c r="Q519" s="8">
        <v>3.41195</v>
      </c>
      <c r="R519" s="8">
        <v>0.39319500000000002</v>
      </c>
      <c r="S519" s="8">
        <f>Tabelle1[[#This Row],[corr_x]]/1000</f>
        <v>3.1776450000000001</v>
      </c>
      <c r="T519" s="8">
        <f>Tabelle1[[#This Row],[corr_y]]/1000</f>
        <v>4.1969700000000003</v>
      </c>
      <c r="U519" s="8">
        <f>Tabelle1[[#This Row],[corr_z]]/1000</f>
        <v>1.0750000000000002</v>
      </c>
      <c r="V519" s="8">
        <f>Tabelle1[[#This Row],[corr_soma_x]]/1000</f>
        <v>3.91927</v>
      </c>
      <c r="W519" s="8">
        <f>Tabelle1[[#This Row],[corr_soma_y]]/1000</f>
        <v>5.89269</v>
      </c>
      <c r="X519" s="8">
        <f>Tabelle1[[#This Row],[corr_soma_z]]/1000</f>
        <v>0.25</v>
      </c>
    </row>
    <row r="520" spans="1:24" x14ac:dyDescent="0.35">
      <c r="A520" s="7" t="s">
        <v>16</v>
      </c>
      <c r="B520" s="7" t="s">
        <v>18</v>
      </c>
      <c r="C520" s="6">
        <v>4</v>
      </c>
      <c r="D520" s="2">
        <v>3683.5499999999997</v>
      </c>
      <c r="E520" s="2">
        <v>4539.18</v>
      </c>
      <c r="F520" s="2">
        <v>1150</v>
      </c>
      <c r="G520" s="2">
        <v>3919.27</v>
      </c>
      <c r="H520" s="2">
        <v>5892.69</v>
      </c>
      <c r="I520" s="2">
        <v>250</v>
      </c>
      <c r="J520" s="2">
        <v>3683.5499999999997</v>
      </c>
      <c r="K520" s="2">
        <v>4539.18</v>
      </c>
      <c r="L520" s="2">
        <v>1150</v>
      </c>
      <c r="M520" s="2">
        <v>3919.27</v>
      </c>
      <c r="N520" s="2">
        <v>5892.69</v>
      </c>
      <c r="O520" s="2">
        <v>250</v>
      </c>
      <c r="P520" s="8">
        <v>7.2019399999999997E-2</v>
      </c>
      <c r="Q520" s="8">
        <v>1.0949899999999999</v>
      </c>
      <c r="R520" s="8">
        <v>7.8111299999999995E-2</v>
      </c>
      <c r="S520" s="8">
        <f>Tabelle1[[#This Row],[corr_x]]/1000</f>
        <v>3.6835499999999999</v>
      </c>
      <c r="T520" s="8">
        <f>Tabelle1[[#This Row],[corr_y]]/1000</f>
        <v>4.53918</v>
      </c>
      <c r="U520" s="8">
        <f>Tabelle1[[#This Row],[corr_z]]/1000</f>
        <v>1.1499999999999999</v>
      </c>
      <c r="V520" s="8">
        <f>Tabelle1[[#This Row],[corr_soma_x]]/1000</f>
        <v>3.91927</v>
      </c>
      <c r="W520" s="8">
        <f>Tabelle1[[#This Row],[corr_soma_y]]/1000</f>
        <v>5.89269</v>
      </c>
      <c r="X520" s="8">
        <f>Tabelle1[[#This Row],[corr_soma_z]]/1000</f>
        <v>0.25</v>
      </c>
    </row>
    <row r="521" spans="1:24" x14ac:dyDescent="0.35">
      <c r="A521" s="7" t="s">
        <v>16</v>
      </c>
      <c r="B521" s="7" t="s">
        <v>19</v>
      </c>
      <c r="C521" s="6">
        <v>2</v>
      </c>
      <c r="D521" s="2">
        <v>3163.44</v>
      </c>
      <c r="E521" s="2">
        <v>4343.2674999999999</v>
      </c>
      <c r="F521" s="2">
        <v>1725</v>
      </c>
      <c r="G521" s="2">
        <v>3919.27</v>
      </c>
      <c r="H521" s="2">
        <v>5892.69</v>
      </c>
      <c r="I521" s="2">
        <v>250</v>
      </c>
      <c r="J521" s="2">
        <v>3163.44</v>
      </c>
      <c r="K521" s="2">
        <v>4343.2674999999999</v>
      </c>
      <c r="L521" s="2">
        <v>1725</v>
      </c>
      <c r="M521" s="2">
        <v>3919.27</v>
      </c>
      <c r="N521" s="2">
        <v>5892.69</v>
      </c>
      <c r="O521" s="2">
        <v>250</v>
      </c>
      <c r="P521" s="8">
        <v>8.4491499999999997E-2</v>
      </c>
      <c r="Q521" s="8">
        <v>4.0978000000000003</v>
      </c>
      <c r="R521" s="8">
        <v>0.35672199999999998</v>
      </c>
      <c r="S521" s="8">
        <f>Tabelle1[[#This Row],[corr_x]]/1000</f>
        <v>3.16344</v>
      </c>
      <c r="T521" s="8">
        <f>Tabelle1[[#This Row],[corr_y]]/1000</f>
        <v>4.3432674999999996</v>
      </c>
      <c r="U521" s="8">
        <f>Tabelle1[[#This Row],[corr_z]]/1000</f>
        <v>1.7250000000000001</v>
      </c>
      <c r="V521" s="8">
        <f>Tabelle1[[#This Row],[corr_soma_x]]/1000</f>
        <v>3.91927</v>
      </c>
      <c r="W521" s="8">
        <f>Tabelle1[[#This Row],[corr_soma_y]]/1000</f>
        <v>5.89269</v>
      </c>
      <c r="X521" s="8">
        <f>Tabelle1[[#This Row],[corr_soma_z]]/1000</f>
        <v>0.25</v>
      </c>
    </row>
    <row r="522" spans="1:24" x14ac:dyDescent="0.35">
      <c r="A522" s="7" t="s">
        <v>16</v>
      </c>
      <c r="B522" s="7" t="s">
        <v>18</v>
      </c>
      <c r="C522" s="6">
        <v>5</v>
      </c>
      <c r="D522" s="2">
        <v>3917.25</v>
      </c>
      <c r="E522" s="2">
        <v>4467.05</v>
      </c>
      <c r="F522" s="2">
        <v>2000</v>
      </c>
      <c r="G522" s="2">
        <v>3919.27</v>
      </c>
      <c r="H522" s="2">
        <v>5892.69</v>
      </c>
      <c r="I522" s="2">
        <v>250</v>
      </c>
      <c r="J522" s="2">
        <v>3917.25</v>
      </c>
      <c r="K522" s="2">
        <v>4467.05</v>
      </c>
      <c r="L522" s="2">
        <v>2000</v>
      </c>
      <c r="M522" s="2">
        <v>3919.27</v>
      </c>
      <c r="N522" s="2">
        <v>5892.69</v>
      </c>
      <c r="O522" s="2">
        <v>250</v>
      </c>
      <c r="P522" s="8">
        <v>4.8359100000000002E-2</v>
      </c>
      <c r="Q522" s="8">
        <v>1.07531</v>
      </c>
      <c r="R522" s="8">
        <v>4.5982099999999998E-2</v>
      </c>
      <c r="S522" s="8">
        <f>Tabelle1[[#This Row],[corr_x]]/1000</f>
        <v>3.9172500000000001</v>
      </c>
      <c r="T522" s="8">
        <f>Tabelle1[[#This Row],[corr_y]]/1000</f>
        <v>4.4670500000000004</v>
      </c>
      <c r="U522" s="8">
        <f>Tabelle1[[#This Row],[corr_z]]/1000</f>
        <v>2</v>
      </c>
      <c r="V522" s="8">
        <f>Tabelle1[[#This Row],[corr_soma_x]]/1000</f>
        <v>3.91927</v>
      </c>
      <c r="W522" s="8">
        <f>Tabelle1[[#This Row],[corr_soma_y]]/1000</f>
        <v>5.89269</v>
      </c>
      <c r="X522" s="8">
        <f>Tabelle1[[#This Row],[corr_soma_z]]/1000</f>
        <v>0.25</v>
      </c>
    </row>
    <row r="523" spans="1:24" x14ac:dyDescent="0.35">
      <c r="A523" s="7" t="s">
        <v>16</v>
      </c>
      <c r="B523" s="7" t="s">
        <v>18</v>
      </c>
      <c r="C523" s="6">
        <v>6</v>
      </c>
      <c r="D523" s="2">
        <v>4020.49</v>
      </c>
      <c r="E523" s="2">
        <v>4512.55</v>
      </c>
      <c r="F523" s="2">
        <v>2450</v>
      </c>
      <c r="G523" s="2">
        <v>3919.27</v>
      </c>
      <c r="H523" s="2">
        <v>5892.69</v>
      </c>
      <c r="I523" s="2">
        <v>250</v>
      </c>
      <c r="J523" s="2">
        <v>4020.49</v>
      </c>
      <c r="K523" s="2">
        <v>4512.55</v>
      </c>
      <c r="L523" s="2">
        <v>2450</v>
      </c>
      <c r="M523" s="2">
        <v>3919.27</v>
      </c>
      <c r="N523" s="2">
        <v>5892.69</v>
      </c>
      <c r="O523" s="2">
        <v>250</v>
      </c>
      <c r="P523" s="8">
        <v>2.03448E-2</v>
      </c>
      <c r="Q523" s="8">
        <v>0.88905299999999998</v>
      </c>
      <c r="R523" s="8">
        <v>4.2452200000000002E-2</v>
      </c>
      <c r="S523" s="8">
        <f>Tabelle1[[#This Row],[corr_x]]/1000</f>
        <v>4.0204899999999997</v>
      </c>
      <c r="T523" s="8">
        <f>Tabelle1[[#This Row],[corr_y]]/1000</f>
        <v>4.5125500000000001</v>
      </c>
      <c r="U523" s="8">
        <f>Tabelle1[[#This Row],[corr_z]]/1000</f>
        <v>2.4500000000000002</v>
      </c>
      <c r="V523" s="8">
        <f>Tabelle1[[#This Row],[corr_soma_x]]/1000</f>
        <v>3.91927</v>
      </c>
      <c r="W523" s="8">
        <f>Tabelle1[[#This Row],[corr_soma_y]]/1000</f>
        <v>5.89269</v>
      </c>
      <c r="X523" s="8">
        <f>Tabelle1[[#This Row],[corr_soma_z]]/1000</f>
        <v>0.25</v>
      </c>
    </row>
    <row r="524" spans="1:24" x14ac:dyDescent="0.35">
      <c r="A524" s="7" t="s">
        <v>16</v>
      </c>
      <c r="B524" s="7" t="s">
        <v>18</v>
      </c>
      <c r="C524" s="6">
        <v>7</v>
      </c>
      <c r="D524" s="2">
        <v>4103.085</v>
      </c>
      <c r="E524" s="2">
        <v>4447.9399999999996</v>
      </c>
      <c r="F524" s="2">
        <v>2775</v>
      </c>
      <c r="G524" s="2">
        <v>3919.27</v>
      </c>
      <c r="H524" s="2">
        <v>5892.69</v>
      </c>
      <c r="I524" s="2">
        <v>250</v>
      </c>
      <c r="J524" s="2">
        <v>4103.085</v>
      </c>
      <c r="K524" s="2">
        <v>4447.9399999999996</v>
      </c>
      <c r="L524" s="2">
        <v>2775</v>
      </c>
      <c r="M524" s="2">
        <v>3919.27</v>
      </c>
      <c r="N524" s="2">
        <v>5892.69</v>
      </c>
      <c r="O524" s="2">
        <v>250</v>
      </c>
      <c r="P524" s="8">
        <v>5.7689999999999998E-2</v>
      </c>
      <c r="Q524" s="8">
        <v>0.51228200000000002</v>
      </c>
      <c r="R524" s="8">
        <v>2.4346900000000001E-2</v>
      </c>
      <c r="S524" s="8">
        <f>Tabelle1[[#This Row],[corr_x]]/1000</f>
        <v>4.1030850000000001</v>
      </c>
      <c r="T524" s="8">
        <f>Tabelle1[[#This Row],[corr_y]]/1000</f>
        <v>4.44794</v>
      </c>
      <c r="U524" s="8">
        <f>Tabelle1[[#This Row],[corr_z]]/1000</f>
        <v>2.7749999999999999</v>
      </c>
      <c r="V524" s="8">
        <f>Tabelle1[[#This Row],[corr_soma_x]]/1000</f>
        <v>3.91927</v>
      </c>
      <c r="W524" s="8">
        <f>Tabelle1[[#This Row],[corr_soma_y]]/1000</f>
        <v>5.89269</v>
      </c>
      <c r="X524" s="8">
        <f>Tabelle1[[#This Row],[corr_soma_z]]/1000</f>
        <v>0.25</v>
      </c>
    </row>
    <row r="525" spans="1:24" x14ac:dyDescent="0.35">
      <c r="A525" s="7" t="s">
        <v>16</v>
      </c>
      <c r="B525" s="7" t="s">
        <v>18</v>
      </c>
      <c r="C525" s="6">
        <v>8</v>
      </c>
      <c r="D525" s="2">
        <v>3788.5549999999998</v>
      </c>
      <c r="E525" s="2">
        <v>4528.17</v>
      </c>
      <c r="F525" s="2">
        <v>2775</v>
      </c>
      <c r="G525" s="2">
        <v>3919.27</v>
      </c>
      <c r="H525" s="2">
        <v>5892.69</v>
      </c>
      <c r="I525" s="2">
        <v>250</v>
      </c>
      <c r="J525" s="2">
        <v>3788.5549999999998</v>
      </c>
      <c r="K525" s="2">
        <v>4528.17</v>
      </c>
      <c r="L525" s="2">
        <v>2775</v>
      </c>
      <c r="M525" s="2">
        <v>3919.27</v>
      </c>
      <c r="N525" s="2">
        <v>5892.69</v>
      </c>
      <c r="O525" s="2">
        <v>250</v>
      </c>
      <c r="P525" s="8">
        <v>3.9128700000000002E-2</v>
      </c>
      <c r="Q525" s="8">
        <v>0.99418899999999999</v>
      </c>
      <c r="R525" s="8">
        <v>6.2445599999999997E-2</v>
      </c>
      <c r="S525" s="8">
        <f>Tabelle1[[#This Row],[corr_x]]/1000</f>
        <v>3.7885549999999997</v>
      </c>
      <c r="T525" s="8">
        <f>Tabelle1[[#This Row],[corr_y]]/1000</f>
        <v>4.5281700000000003</v>
      </c>
      <c r="U525" s="8">
        <f>Tabelle1[[#This Row],[corr_z]]/1000</f>
        <v>2.7749999999999999</v>
      </c>
      <c r="V525" s="8">
        <f>Tabelle1[[#This Row],[corr_soma_x]]/1000</f>
        <v>3.91927</v>
      </c>
      <c r="W525" s="8">
        <f>Tabelle1[[#This Row],[corr_soma_y]]/1000</f>
        <v>5.89269</v>
      </c>
      <c r="X525" s="8">
        <f>Tabelle1[[#This Row],[corr_soma_z]]/1000</f>
        <v>0.25</v>
      </c>
    </row>
    <row r="526" spans="1:24" x14ac:dyDescent="0.35">
      <c r="A526" s="7" t="s">
        <v>16</v>
      </c>
      <c r="B526" s="7" t="s">
        <v>18</v>
      </c>
      <c r="C526" s="6">
        <v>9</v>
      </c>
      <c r="D526" s="2">
        <v>3843.3199999999997</v>
      </c>
      <c r="E526" s="2">
        <v>4529.3500000000004</v>
      </c>
      <c r="F526" s="2">
        <v>3350</v>
      </c>
      <c r="G526" s="2">
        <v>3919.27</v>
      </c>
      <c r="H526" s="2">
        <v>5892.69</v>
      </c>
      <c r="I526" s="2">
        <v>250</v>
      </c>
      <c r="J526" s="2">
        <v>3843.3199999999997</v>
      </c>
      <c r="K526" s="2">
        <v>4529.3500000000004</v>
      </c>
      <c r="L526" s="2">
        <v>3350</v>
      </c>
      <c r="M526" s="2">
        <v>3919.27</v>
      </c>
      <c r="N526" s="2">
        <v>5892.69</v>
      </c>
      <c r="O526" s="2">
        <v>250</v>
      </c>
      <c r="P526" s="8">
        <v>6.3908699999999999E-2</v>
      </c>
      <c r="Q526" s="8">
        <v>1.3323499999999999</v>
      </c>
      <c r="R526" s="8">
        <v>8.2184900000000005E-2</v>
      </c>
      <c r="S526" s="8">
        <f>Tabelle1[[#This Row],[corr_x]]/1000</f>
        <v>3.8433199999999998</v>
      </c>
      <c r="T526" s="8">
        <f>Tabelle1[[#This Row],[corr_y]]/1000</f>
        <v>4.52935</v>
      </c>
      <c r="U526" s="8">
        <f>Tabelle1[[#This Row],[corr_z]]/1000</f>
        <v>3.35</v>
      </c>
      <c r="V526" s="8">
        <f>Tabelle1[[#This Row],[corr_soma_x]]/1000</f>
        <v>3.91927</v>
      </c>
      <c r="W526" s="8">
        <f>Tabelle1[[#This Row],[corr_soma_y]]/1000</f>
        <v>5.89269</v>
      </c>
      <c r="X526" s="8">
        <f>Tabelle1[[#This Row],[corr_soma_z]]/1000</f>
        <v>0.25</v>
      </c>
    </row>
    <row r="527" spans="1:24" x14ac:dyDescent="0.35">
      <c r="A527" s="7" t="s">
        <v>16</v>
      </c>
      <c r="B527" s="7" t="s">
        <v>18</v>
      </c>
      <c r="C527" s="6">
        <v>10</v>
      </c>
      <c r="D527" s="2">
        <v>4328.1750000000002</v>
      </c>
      <c r="E527" s="2">
        <v>4874.04</v>
      </c>
      <c r="F527" s="2">
        <v>3975</v>
      </c>
      <c r="G527" s="2">
        <v>3919.27</v>
      </c>
      <c r="H527" s="2">
        <v>5892.69</v>
      </c>
      <c r="I527" s="2">
        <v>250</v>
      </c>
      <c r="J527" s="2">
        <v>4328.1750000000002</v>
      </c>
      <c r="K527" s="2">
        <v>4874.04</v>
      </c>
      <c r="L527" s="2">
        <v>3975</v>
      </c>
      <c r="M527" s="2">
        <v>3919.27</v>
      </c>
      <c r="N527" s="2">
        <v>5892.69</v>
      </c>
      <c r="O527" s="2">
        <v>250</v>
      </c>
      <c r="P527" s="8">
        <v>6.0471900000000002E-2</v>
      </c>
      <c r="Q527" s="8">
        <v>1.42178</v>
      </c>
      <c r="R527" s="8">
        <v>7.2043800000000005E-2</v>
      </c>
      <c r="S527" s="8">
        <f>Tabelle1[[#This Row],[corr_x]]/1000</f>
        <v>4.3281749999999999</v>
      </c>
      <c r="T527" s="8">
        <f>Tabelle1[[#This Row],[corr_y]]/1000</f>
        <v>4.8740399999999999</v>
      </c>
      <c r="U527" s="8">
        <f>Tabelle1[[#This Row],[corr_z]]/1000</f>
        <v>3.9750000000000001</v>
      </c>
      <c r="V527" s="8">
        <f>Tabelle1[[#This Row],[corr_soma_x]]/1000</f>
        <v>3.91927</v>
      </c>
      <c r="W527" s="8">
        <f>Tabelle1[[#This Row],[corr_soma_y]]/1000</f>
        <v>5.89269</v>
      </c>
      <c r="X527" s="8">
        <f>Tabelle1[[#This Row],[corr_soma_z]]/1000</f>
        <v>0.25</v>
      </c>
    </row>
    <row r="528" spans="1:24" x14ac:dyDescent="0.35">
      <c r="A528" s="7" t="s">
        <v>16</v>
      </c>
      <c r="B528" s="7" t="s">
        <v>19</v>
      </c>
      <c r="C528" s="6">
        <v>3</v>
      </c>
      <c r="D528" s="2">
        <v>4224.1750000000011</v>
      </c>
      <c r="E528" s="2">
        <v>3991.68</v>
      </c>
      <c r="F528" s="2">
        <v>3925</v>
      </c>
      <c r="G528" s="2">
        <v>3919.27</v>
      </c>
      <c r="H528" s="2">
        <v>5892.69</v>
      </c>
      <c r="I528" s="2">
        <v>250</v>
      </c>
      <c r="J528" s="2">
        <v>4224.1750000000011</v>
      </c>
      <c r="K528" s="2">
        <v>3991.68</v>
      </c>
      <c r="L528" s="2">
        <v>3925</v>
      </c>
      <c r="M528" s="2">
        <v>3919.27</v>
      </c>
      <c r="N528" s="2">
        <v>5892.69</v>
      </c>
      <c r="O528" s="2">
        <v>250</v>
      </c>
      <c r="P528" s="8">
        <v>3.4197600000000002E-2</v>
      </c>
      <c r="Q528" s="8">
        <v>2.9580600000000001</v>
      </c>
      <c r="R528" s="8">
        <v>0.14462900000000001</v>
      </c>
      <c r="S528" s="8">
        <f>Tabelle1[[#This Row],[corr_x]]/1000</f>
        <v>4.2241750000000007</v>
      </c>
      <c r="T528" s="8">
        <f>Tabelle1[[#This Row],[corr_y]]/1000</f>
        <v>3.9916799999999997</v>
      </c>
      <c r="U528" s="8">
        <f>Tabelle1[[#This Row],[corr_z]]/1000</f>
        <v>3.9249999999999998</v>
      </c>
      <c r="V528" s="8">
        <f>Tabelle1[[#This Row],[corr_soma_x]]/1000</f>
        <v>3.91927</v>
      </c>
      <c r="W528" s="8">
        <f>Tabelle1[[#This Row],[corr_soma_y]]/1000</f>
        <v>5.89269</v>
      </c>
      <c r="X528" s="8">
        <f>Tabelle1[[#This Row],[corr_soma_z]]/1000</f>
        <v>0.25</v>
      </c>
    </row>
    <row r="529" spans="1:24" x14ac:dyDescent="0.35">
      <c r="A529" s="7" t="s">
        <v>16</v>
      </c>
      <c r="B529" s="7" t="s">
        <v>18</v>
      </c>
      <c r="C529" s="6">
        <v>11</v>
      </c>
      <c r="D529" s="2">
        <v>4218.45</v>
      </c>
      <c r="E529" s="2">
        <v>4201.12</v>
      </c>
      <c r="F529" s="2">
        <v>3875</v>
      </c>
      <c r="G529" s="2">
        <v>3919.27</v>
      </c>
      <c r="H529" s="2">
        <v>5892.69</v>
      </c>
      <c r="I529" s="2">
        <v>250</v>
      </c>
      <c r="J529" s="2">
        <v>4218.45</v>
      </c>
      <c r="K529" s="2">
        <v>4201.12</v>
      </c>
      <c r="L529" s="2">
        <v>3875</v>
      </c>
      <c r="M529" s="2">
        <v>3919.27</v>
      </c>
      <c r="N529" s="2">
        <v>5892.69</v>
      </c>
      <c r="O529" s="2">
        <v>250</v>
      </c>
      <c r="P529" s="8">
        <v>1.1236899999999999E-2</v>
      </c>
      <c r="Q529" s="8">
        <v>0.73594999999999999</v>
      </c>
      <c r="R529" s="8">
        <v>4.8217000000000003E-2</v>
      </c>
      <c r="S529" s="8">
        <f>Tabelle1[[#This Row],[corr_x]]/1000</f>
        <v>4.2184499999999998</v>
      </c>
      <c r="T529" s="8">
        <f>Tabelle1[[#This Row],[corr_y]]/1000</f>
        <v>4.2011199999999995</v>
      </c>
      <c r="U529" s="8">
        <f>Tabelle1[[#This Row],[corr_z]]/1000</f>
        <v>3.875</v>
      </c>
      <c r="V529" s="8">
        <f>Tabelle1[[#This Row],[corr_soma_x]]/1000</f>
        <v>3.91927</v>
      </c>
      <c r="W529" s="8">
        <f>Tabelle1[[#This Row],[corr_soma_y]]/1000</f>
        <v>5.89269</v>
      </c>
      <c r="X529" s="8">
        <f>Tabelle1[[#This Row],[corr_soma_z]]/1000</f>
        <v>0.25</v>
      </c>
    </row>
    <row r="530" spans="1:24" x14ac:dyDescent="0.35">
      <c r="A530" s="7" t="s">
        <v>16</v>
      </c>
      <c r="B530" s="7" t="s">
        <v>18</v>
      </c>
      <c r="C530" s="6">
        <v>12</v>
      </c>
      <c r="D530" s="2">
        <v>4230.1099999999997</v>
      </c>
      <c r="E530" s="2">
        <v>3871.74</v>
      </c>
      <c r="F530" s="2">
        <v>4300</v>
      </c>
      <c r="G530" s="2">
        <v>3919.27</v>
      </c>
      <c r="H530" s="2">
        <v>5892.69</v>
      </c>
      <c r="I530" s="2">
        <v>250</v>
      </c>
      <c r="J530" s="2">
        <v>4230.1099999999997</v>
      </c>
      <c r="K530" s="2">
        <v>3871.74</v>
      </c>
      <c r="L530" s="2">
        <v>4300</v>
      </c>
      <c r="M530" s="2">
        <v>3919.27</v>
      </c>
      <c r="N530" s="2">
        <v>5892.69</v>
      </c>
      <c r="O530" s="2">
        <v>250</v>
      </c>
      <c r="P530" s="8">
        <v>2.6366000000000001E-2</v>
      </c>
      <c r="Q530" s="8">
        <v>0.81482399999999999</v>
      </c>
      <c r="R530" s="8">
        <v>3.3566899999999997E-2</v>
      </c>
      <c r="S530" s="8">
        <f>Tabelle1[[#This Row],[corr_x]]/1000</f>
        <v>4.2301099999999998</v>
      </c>
      <c r="T530" s="8">
        <f>Tabelle1[[#This Row],[corr_y]]/1000</f>
        <v>3.87174</v>
      </c>
      <c r="U530" s="8">
        <f>Tabelle1[[#This Row],[corr_z]]/1000</f>
        <v>4.3</v>
      </c>
      <c r="V530" s="8">
        <f>Tabelle1[[#This Row],[corr_soma_x]]/1000</f>
        <v>3.91927</v>
      </c>
      <c r="W530" s="8">
        <f>Tabelle1[[#This Row],[corr_soma_y]]/1000</f>
        <v>5.89269</v>
      </c>
      <c r="X530" s="8">
        <f>Tabelle1[[#This Row],[corr_soma_z]]/1000</f>
        <v>0.25</v>
      </c>
    </row>
    <row r="531" spans="1:24" x14ac:dyDescent="0.35">
      <c r="A531" s="7" t="s">
        <v>16</v>
      </c>
      <c r="B531" s="7" t="s">
        <v>18</v>
      </c>
      <c r="C531" s="6">
        <v>13</v>
      </c>
      <c r="D531" s="2">
        <v>4357.835</v>
      </c>
      <c r="E531" s="2">
        <v>4082.1450000000004</v>
      </c>
      <c r="F531" s="2">
        <v>4525</v>
      </c>
      <c r="G531" s="2">
        <v>3919.27</v>
      </c>
      <c r="H531" s="2">
        <v>5892.69</v>
      </c>
      <c r="I531" s="2">
        <v>250</v>
      </c>
      <c r="J531" s="2">
        <v>4357.835</v>
      </c>
      <c r="K531" s="2">
        <v>4082.1450000000004</v>
      </c>
      <c r="L531" s="2">
        <v>4525</v>
      </c>
      <c r="M531" s="2">
        <v>3919.27</v>
      </c>
      <c r="N531" s="2">
        <v>5892.69</v>
      </c>
      <c r="O531" s="2">
        <v>250</v>
      </c>
      <c r="P531" s="8">
        <v>2.61897E-2</v>
      </c>
      <c r="Q531" s="8">
        <v>1.13592</v>
      </c>
      <c r="R531" s="8">
        <v>4.66325E-2</v>
      </c>
      <c r="S531" s="8">
        <f>Tabelle1[[#This Row],[corr_x]]/1000</f>
        <v>4.3578349999999997</v>
      </c>
      <c r="T531" s="8">
        <f>Tabelle1[[#This Row],[corr_y]]/1000</f>
        <v>4.0821450000000006</v>
      </c>
      <c r="U531" s="8">
        <f>Tabelle1[[#This Row],[corr_z]]/1000</f>
        <v>4.5250000000000004</v>
      </c>
      <c r="V531" s="8">
        <f>Tabelle1[[#This Row],[corr_soma_x]]/1000</f>
        <v>3.91927</v>
      </c>
      <c r="W531" s="8">
        <f>Tabelle1[[#This Row],[corr_soma_y]]/1000</f>
        <v>5.89269</v>
      </c>
      <c r="X531" s="8">
        <f>Tabelle1[[#This Row],[corr_soma_z]]/1000</f>
        <v>0.25</v>
      </c>
    </row>
    <row r="532" spans="1:24" x14ac:dyDescent="0.35">
      <c r="A532" s="7" t="s">
        <v>16</v>
      </c>
      <c r="B532" s="7" t="s">
        <v>18</v>
      </c>
      <c r="C532" s="6">
        <v>14</v>
      </c>
      <c r="D532" s="2">
        <v>3860.35</v>
      </c>
      <c r="E532" s="2">
        <v>4000.86</v>
      </c>
      <c r="F532" s="2">
        <v>3600</v>
      </c>
      <c r="G532" s="2">
        <v>3919.27</v>
      </c>
      <c r="H532" s="2">
        <v>5892.69</v>
      </c>
      <c r="I532" s="2">
        <v>250</v>
      </c>
      <c r="J532" s="2">
        <v>3860.35</v>
      </c>
      <c r="K532" s="2">
        <v>4000.86</v>
      </c>
      <c r="L532" s="2">
        <v>3600</v>
      </c>
      <c r="M532" s="2">
        <v>3919.27</v>
      </c>
      <c r="N532" s="2">
        <v>5892.69</v>
      </c>
      <c r="O532" s="2">
        <v>250</v>
      </c>
      <c r="P532" s="8">
        <v>4.6577500000000001E-2</v>
      </c>
      <c r="Q532" s="8">
        <v>0.933365</v>
      </c>
      <c r="R532" s="8">
        <v>5.8822399999999997E-2</v>
      </c>
      <c r="S532" s="8">
        <f>Tabelle1[[#This Row],[corr_x]]/1000</f>
        <v>3.8603499999999999</v>
      </c>
      <c r="T532" s="8">
        <f>Tabelle1[[#This Row],[corr_y]]/1000</f>
        <v>4.0008600000000003</v>
      </c>
      <c r="U532" s="8">
        <f>Tabelle1[[#This Row],[corr_z]]/1000</f>
        <v>3.6</v>
      </c>
      <c r="V532" s="8">
        <f>Tabelle1[[#This Row],[corr_soma_x]]/1000</f>
        <v>3.91927</v>
      </c>
      <c r="W532" s="8">
        <f>Tabelle1[[#This Row],[corr_soma_y]]/1000</f>
        <v>5.89269</v>
      </c>
      <c r="X532" s="8">
        <f>Tabelle1[[#This Row],[corr_soma_z]]/1000</f>
        <v>0.25</v>
      </c>
    </row>
    <row r="533" spans="1:24" x14ac:dyDescent="0.35">
      <c r="A533" s="7" t="s">
        <v>16</v>
      </c>
      <c r="B533" s="7" t="s">
        <v>18</v>
      </c>
      <c r="C533" s="6">
        <v>15</v>
      </c>
      <c r="D533" s="2">
        <v>3763.4449999999997</v>
      </c>
      <c r="E533" s="2">
        <v>3859.3049999999998</v>
      </c>
      <c r="F533" s="2">
        <v>4625</v>
      </c>
      <c r="G533" s="2">
        <v>3919.27</v>
      </c>
      <c r="H533" s="2">
        <v>5892.69</v>
      </c>
      <c r="I533" s="2">
        <v>250</v>
      </c>
      <c r="J533" s="2">
        <v>3763.4449999999997</v>
      </c>
      <c r="K533" s="2">
        <v>3859.3049999999998</v>
      </c>
      <c r="L533" s="2">
        <v>4625</v>
      </c>
      <c r="M533" s="2">
        <v>3919.27</v>
      </c>
      <c r="N533" s="2">
        <v>5892.69</v>
      </c>
      <c r="O533" s="2">
        <v>250</v>
      </c>
      <c r="P533" s="8">
        <v>2.32272E-2</v>
      </c>
      <c r="Q533" s="8">
        <v>2.0088499999999998</v>
      </c>
      <c r="R533" s="8">
        <v>0.169376</v>
      </c>
      <c r="S533" s="8">
        <f>Tabelle1[[#This Row],[corr_x]]/1000</f>
        <v>3.7634449999999999</v>
      </c>
      <c r="T533" s="8">
        <f>Tabelle1[[#This Row],[corr_y]]/1000</f>
        <v>3.859305</v>
      </c>
      <c r="U533" s="8">
        <f>Tabelle1[[#This Row],[corr_z]]/1000</f>
        <v>4.625</v>
      </c>
      <c r="V533" s="8">
        <f>Tabelle1[[#This Row],[corr_soma_x]]/1000</f>
        <v>3.91927</v>
      </c>
      <c r="W533" s="8">
        <f>Tabelle1[[#This Row],[corr_soma_y]]/1000</f>
        <v>5.89269</v>
      </c>
      <c r="X533" s="8">
        <f>Tabelle1[[#This Row],[corr_soma_z]]/1000</f>
        <v>0.25</v>
      </c>
    </row>
    <row r="534" spans="1:24" x14ac:dyDescent="0.35">
      <c r="A534" s="7" t="s">
        <v>16</v>
      </c>
      <c r="B534" s="7" t="s">
        <v>18</v>
      </c>
      <c r="C534" s="6">
        <v>16</v>
      </c>
      <c r="D534" s="2">
        <v>3903.2850000000003</v>
      </c>
      <c r="E534" s="2">
        <v>4244.55</v>
      </c>
      <c r="F534" s="2">
        <v>4925.0000000000009</v>
      </c>
      <c r="G534" s="2">
        <v>3919.27</v>
      </c>
      <c r="H534" s="2">
        <v>5892.69</v>
      </c>
      <c r="I534" s="2">
        <v>250</v>
      </c>
      <c r="J534" s="2">
        <v>3903.2850000000003</v>
      </c>
      <c r="K534" s="2">
        <v>4244.55</v>
      </c>
      <c r="L534" s="2">
        <v>4925.0000000000009</v>
      </c>
      <c r="M534" s="2">
        <v>3919.27</v>
      </c>
      <c r="N534" s="2">
        <v>5892.69</v>
      </c>
      <c r="O534" s="2">
        <v>250</v>
      </c>
      <c r="P534" s="8">
        <v>4.3912199999999998E-2</v>
      </c>
      <c r="Q534" s="8">
        <v>1.0576399999999999</v>
      </c>
      <c r="R534" s="8">
        <v>4.38541E-2</v>
      </c>
      <c r="S534" s="8">
        <f>Tabelle1[[#This Row],[corr_x]]/1000</f>
        <v>3.9032850000000003</v>
      </c>
      <c r="T534" s="8">
        <f>Tabelle1[[#This Row],[corr_y]]/1000</f>
        <v>4.2445500000000003</v>
      </c>
      <c r="U534" s="8">
        <f>Tabelle1[[#This Row],[corr_z]]/1000</f>
        <v>4.9250000000000007</v>
      </c>
      <c r="V534" s="8">
        <f>Tabelle1[[#This Row],[corr_soma_x]]/1000</f>
        <v>3.91927</v>
      </c>
      <c r="W534" s="8">
        <f>Tabelle1[[#This Row],[corr_soma_y]]/1000</f>
        <v>5.89269</v>
      </c>
      <c r="X534" s="8">
        <f>Tabelle1[[#This Row],[corr_soma_z]]/1000</f>
        <v>0.25</v>
      </c>
    </row>
    <row r="535" spans="1:24" x14ac:dyDescent="0.35">
      <c r="A535" s="7" t="s">
        <v>16</v>
      </c>
      <c r="B535" s="7" t="s">
        <v>18</v>
      </c>
      <c r="C535" s="6">
        <v>17</v>
      </c>
      <c r="D535" s="2">
        <v>3753.93</v>
      </c>
      <c r="E535" s="2">
        <v>4089.6100000000006</v>
      </c>
      <c r="F535" s="2">
        <v>5200</v>
      </c>
      <c r="G535" s="2">
        <v>3919.27</v>
      </c>
      <c r="H535" s="2">
        <v>5892.69</v>
      </c>
      <c r="I535" s="2">
        <v>250</v>
      </c>
      <c r="J535" s="2">
        <v>3753.93</v>
      </c>
      <c r="K535" s="2">
        <v>4089.6100000000006</v>
      </c>
      <c r="L535" s="2">
        <v>5200</v>
      </c>
      <c r="M535" s="2">
        <v>3919.27</v>
      </c>
      <c r="N535" s="2">
        <v>5892.69</v>
      </c>
      <c r="O535" s="2">
        <v>250</v>
      </c>
      <c r="P535" s="8">
        <v>7.4521299999999999E-2</v>
      </c>
      <c r="Q535" s="8">
        <v>1.7682599999999999</v>
      </c>
      <c r="R535" s="8">
        <v>0.125974</v>
      </c>
      <c r="S535" s="8">
        <f>Tabelle1[[#This Row],[corr_x]]/1000</f>
        <v>3.75393</v>
      </c>
      <c r="T535" s="8">
        <f>Tabelle1[[#This Row],[corr_y]]/1000</f>
        <v>4.0896100000000004</v>
      </c>
      <c r="U535" s="8">
        <f>Tabelle1[[#This Row],[corr_z]]/1000</f>
        <v>5.2</v>
      </c>
      <c r="V535" s="8">
        <f>Tabelle1[[#This Row],[corr_soma_x]]/1000</f>
        <v>3.91927</v>
      </c>
      <c r="W535" s="8">
        <f>Tabelle1[[#This Row],[corr_soma_y]]/1000</f>
        <v>5.89269</v>
      </c>
      <c r="X535" s="8">
        <f>Tabelle1[[#This Row],[corr_soma_z]]/1000</f>
        <v>0.25</v>
      </c>
    </row>
    <row r="536" spans="1:24" x14ac:dyDescent="0.35">
      <c r="A536" s="7" t="s">
        <v>16</v>
      </c>
      <c r="B536" s="7" t="s">
        <v>18</v>
      </c>
      <c r="C536" s="6">
        <v>18</v>
      </c>
      <c r="D536" s="2">
        <v>4225.08</v>
      </c>
      <c r="E536" s="2">
        <v>4265.08</v>
      </c>
      <c r="F536" s="2">
        <v>5550</v>
      </c>
      <c r="G536" s="2">
        <v>3919.27</v>
      </c>
      <c r="H536" s="2">
        <v>5892.69</v>
      </c>
      <c r="I536" s="2">
        <v>250</v>
      </c>
      <c r="J536" s="2">
        <v>4225.08</v>
      </c>
      <c r="K536" s="2">
        <v>4265.08</v>
      </c>
      <c r="L536" s="2">
        <v>5550</v>
      </c>
      <c r="M536" s="2">
        <v>3919.27</v>
      </c>
      <c r="N536" s="2">
        <v>5892.69</v>
      </c>
      <c r="O536" s="2">
        <v>250</v>
      </c>
      <c r="P536" s="8">
        <v>5.31171E-2</v>
      </c>
      <c r="Q536" s="8">
        <v>3.2893500000000002</v>
      </c>
      <c r="R536" s="8">
        <v>0.31453599999999998</v>
      </c>
      <c r="S536" s="8">
        <f>Tabelle1[[#This Row],[corr_x]]/1000</f>
        <v>4.2250800000000002</v>
      </c>
      <c r="T536" s="8">
        <f>Tabelle1[[#This Row],[corr_y]]/1000</f>
        <v>4.2650800000000002</v>
      </c>
      <c r="U536" s="8">
        <f>Tabelle1[[#This Row],[corr_z]]/1000</f>
        <v>5.55</v>
      </c>
      <c r="V536" s="8">
        <f>Tabelle1[[#This Row],[corr_soma_x]]/1000</f>
        <v>3.91927</v>
      </c>
      <c r="W536" s="8">
        <f>Tabelle1[[#This Row],[corr_soma_y]]/1000</f>
        <v>5.89269</v>
      </c>
      <c r="X536" s="8">
        <f>Tabelle1[[#This Row],[corr_soma_z]]/1000</f>
        <v>0.25</v>
      </c>
    </row>
    <row r="537" spans="1:24" x14ac:dyDescent="0.35">
      <c r="A537" s="7" t="s">
        <v>16</v>
      </c>
      <c r="B537" s="7" t="s">
        <v>18</v>
      </c>
      <c r="C537" s="6">
        <v>19</v>
      </c>
      <c r="D537" s="2">
        <v>3827.71</v>
      </c>
      <c r="E537" s="2">
        <v>3815.76</v>
      </c>
      <c r="F537" s="2">
        <v>5450</v>
      </c>
      <c r="G537" s="2">
        <v>3919.27</v>
      </c>
      <c r="H537" s="2">
        <v>5892.69</v>
      </c>
      <c r="I537" s="2">
        <v>250</v>
      </c>
      <c r="J537" s="2">
        <v>3827.71</v>
      </c>
      <c r="K537" s="2">
        <v>3815.76</v>
      </c>
      <c r="L537" s="2">
        <v>5450</v>
      </c>
      <c r="M537" s="2">
        <v>3919.27</v>
      </c>
      <c r="N537" s="2">
        <v>5892.69</v>
      </c>
      <c r="O537" s="2">
        <v>250</v>
      </c>
      <c r="P537" s="8">
        <v>5.6977100000000003E-2</v>
      </c>
      <c r="Q537" s="8">
        <v>0.68739099999999997</v>
      </c>
      <c r="R537" s="8">
        <v>4.31191E-2</v>
      </c>
      <c r="S537" s="8">
        <f>Tabelle1[[#This Row],[corr_x]]/1000</f>
        <v>3.8277100000000002</v>
      </c>
      <c r="T537" s="8">
        <f>Tabelle1[[#This Row],[corr_y]]/1000</f>
        <v>3.81576</v>
      </c>
      <c r="U537" s="8">
        <f>Tabelle1[[#This Row],[corr_z]]/1000</f>
        <v>5.45</v>
      </c>
      <c r="V537" s="8">
        <f>Tabelle1[[#This Row],[corr_soma_x]]/1000</f>
        <v>3.91927</v>
      </c>
      <c r="W537" s="8">
        <f>Tabelle1[[#This Row],[corr_soma_y]]/1000</f>
        <v>5.89269</v>
      </c>
      <c r="X537" s="8">
        <f>Tabelle1[[#This Row],[corr_soma_z]]/1000</f>
        <v>0.25</v>
      </c>
    </row>
    <row r="538" spans="1:24" x14ac:dyDescent="0.35">
      <c r="A538" s="7" t="s">
        <v>16</v>
      </c>
      <c r="B538" s="7" t="s">
        <v>18</v>
      </c>
      <c r="C538" s="6">
        <v>20</v>
      </c>
      <c r="D538" s="2">
        <v>4281.835</v>
      </c>
      <c r="E538" s="2">
        <v>4229.1499999999996</v>
      </c>
      <c r="F538" s="2">
        <v>5725</v>
      </c>
      <c r="G538" s="2">
        <v>3919.27</v>
      </c>
      <c r="H538" s="2">
        <v>5892.69</v>
      </c>
      <c r="I538" s="2">
        <v>250</v>
      </c>
      <c r="J538" s="2">
        <v>4281.835</v>
      </c>
      <c r="K538" s="2">
        <v>4229.1499999999996</v>
      </c>
      <c r="L538" s="2">
        <v>5725</v>
      </c>
      <c r="M538" s="2">
        <v>3919.27</v>
      </c>
      <c r="N538" s="2">
        <v>5892.69</v>
      </c>
      <c r="O538" s="2">
        <v>250</v>
      </c>
      <c r="P538" s="8">
        <v>3.6204500000000001E-2</v>
      </c>
      <c r="Q538" s="8">
        <v>0.78301100000000001</v>
      </c>
      <c r="R538" s="8">
        <v>3.0421E-2</v>
      </c>
      <c r="S538" s="8">
        <f>Tabelle1[[#This Row],[corr_x]]/1000</f>
        <v>4.2818350000000001</v>
      </c>
      <c r="T538" s="8">
        <f>Tabelle1[[#This Row],[corr_y]]/1000</f>
        <v>4.2291499999999997</v>
      </c>
      <c r="U538" s="8">
        <f>Tabelle1[[#This Row],[corr_z]]/1000</f>
        <v>5.7249999999999996</v>
      </c>
      <c r="V538" s="8">
        <f>Tabelle1[[#This Row],[corr_soma_x]]/1000</f>
        <v>3.91927</v>
      </c>
      <c r="W538" s="8">
        <f>Tabelle1[[#This Row],[corr_soma_y]]/1000</f>
        <v>5.89269</v>
      </c>
      <c r="X538" s="8">
        <f>Tabelle1[[#This Row],[corr_soma_z]]/1000</f>
        <v>0.25</v>
      </c>
    </row>
    <row r="539" spans="1:24" x14ac:dyDescent="0.35">
      <c r="A539" s="7" t="s">
        <v>16</v>
      </c>
      <c r="B539" s="7" t="s">
        <v>18</v>
      </c>
      <c r="C539" s="6">
        <v>21</v>
      </c>
      <c r="D539" s="2">
        <v>4041.855</v>
      </c>
      <c r="E539" s="2">
        <v>4266.3950000000004</v>
      </c>
      <c r="F539" s="2">
        <v>5324.9999999999991</v>
      </c>
      <c r="G539" s="2">
        <v>3919.27</v>
      </c>
      <c r="H539" s="2">
        <v>5892.69</v>
      </c>
      <c r="I539" s="2">
        <v>250</v>
      </c>
      <c r="J539" s="2">
        <v>4041.855</v>
      </c>
      <c r="K539" s="2">
        <v>4266.3950000000004</v>
      </c>
      <c r="L539" s="2">
        <v>5324.9999999999991</v>
      </c>
      <c r="M539" s="2">
        <v>3919.27</v>
      </c>
      <c r="N539" s="2">
        <v>5892.69</v>
      </c>
      <c r="O539" s="2">
        <v>250</v>
      </c>
      <c r="P539" s="8">
        <v>1.1350300000000001E-2</v>
      </c>
      <c r="Q539" s="8">
        <v>0.84704100000000004</v>
      </c>
      <c r="R539" s="8">
        <v>4.0895000000000001E-2</v>
      </c>
      <c r="S539" s="8">
        <f>Tabelle1[[#This Row],[corr_x]]/1000</f>
        <v>4.041855</v>
      </c>
      <c r="T539" s="8">
        <f>Tabelle1[[#This Row],[corr_y]]/1000</f>
        <v>4.2663950000000002</v>
      </c>
      <c r="U539" s="8">
        <f>Tabelle1[[#This Row],[corr_z]]/1000</f>
        <v>5.3249999999999993</v>
      </c>
      <c r="V539" s="8">
        <f>Tabelle1[[#This Row],[corr_soma_x]]/1000</f>
        <v>3.91927</v>
      </c>
      <c r="W539" s="8">
        <f>Tabelle1[[#This Row],[corr_soma_y]]/1000</f>
        <v>5.89269</v>
      </c>
      <c r="X539" s="8">
        <f>Tabelle1[[#This Row],[corr_soma_z]]/1000</f>
        <v>0.25</v>
      </c>
    </row>
    <row r="540" spans="1:24" x14ac:dyDescent="0.35">
      <c r="A540" s="7" t="s">
        <v>16</v>
      </c>
      <c r="B540" s="7" t="s">
        <v>18</v>
      </c>
      <c r="C540" s="6">
        <v>22</v>
      </c>
      <c r="D540" s="2">
        <v>3915.99</v>
      </c>
      <c r="E540" s="2">
        <v>3617.07</v>
      </c>
      <c r="F540" s="2">
        <v>5675.0000000000009</v>
      </c>
      <c r="G540" s="2">
        <v>3919.27</v>
      </c>
      <c r="H540" s="2">
        <v>5892.69</v>
      </c>
      <c r="I540" s="2">
        <v>250</v>
      </c>
      <c r="J540" s="2">
        <v>3915.99</v>
      </c>
      <c r="K540" s="2">
        <v>3617.07</v>
      </c>
      <c r="L540" s="2">
        <v>5675.0000000000009</v>
      </c>
      <c r="M540" s="2">
        <v>3919.27</v>
      </c>
      <c r="N540" s="2">
        <v>5892.69</v>
      </c>
      <c r="O540" s="2">
        <v>250</v>
      </c>
      <c r="P540" s="8">
        <v>3.8574200000000003E-2</v>
      </c>
      <c r="Q540" s="8">
        <v>0.948708</v>
      </c>
      <c r="R540" s="8">
        <v>6.3508400000000007E-2</v>
      </c>
      <c r="S540" s="8">
        <f>Tabelle1[[#This Row],[corr_x]]/1000</f>
        <v>3.9159899999999999</v>
      </c>
      <c r="T540" s="8">
        <f>Tabelle1[[#This Row],[corr_y]]/1000</f>
        <v>3.61707</v>
      </c>
      <c r="U540" s="8">
        <f>Tabelle1[[#This Row],[corr_z]]/1000</f>
        <v>5.6750000000000007</v>
      </c>
      <c r="V540" s="8">
        <f>Tabelle1[[#This Row],[corr_soma_x]]/1000</f>
        <v>3.91927</v>
      </c>
      <c r="W540" s="8">
        <f>Tabelle1[[#This Row],[corr_soma_y]]/1000</f>
        <v>5.89269</v>
      </c>
      <c r="X540" s="8">
        <f>Tabelle1[[#This Row],[corr_soma_z]]/1000</f>
        <v>0.25</v>
      </c>
    </row>
    <row r="541" spans="1:24" x14ac:dyDescent="0.35">
      <c r="A541" s="7" t="s">
        <v>16</v>
      </c>
      <c r="B541" s="7" t="s">
        <v>18</v>
      </c>
      <c r="C541" s="6">
        <v>23</v>
      </c>
      <c r="D541" s="2">
        <v>4146.5600000000004</v>
      </c>
      <c r="E541" s="2">
        <v>3594.48</v>
      </c>
      <c r="F541" s="2">
        <v>5600</v>
      </c>
      <c r="G541" s="2">
        <v>3919.27</v>
      </c>
      <c r="H541" s="2">
        <v>5892.69</v>
      </c>
      <c r="I541" s="2">
        <v>250</v>
      </c>
      <c r="J541" s="2">
        <v>4146.5600000000004</v>
      </c>
      <c r="K541" s="2">
        <v>3594.48</v>
      </c>
      <c r="L541" s="2">
        <v>5600</v>
      </c>
      <c r="M541" s="2">
        <v>3919.27</v>
      </c>
      <c r="N541" s="2">
        <v>5892.69</v>
      </c>
      <c r="O541" s="2">
        <v>250</v>
      </c>
      <c r="P541" s="8">
        <v>4.0992000000000001E-2</v>
      </c>
      <c r="Q541" s="8">
        <v>0.91296900000000003</v>
      </c>
      <c r="R541" s="8">
        <v>6.5098299999999998E-2</v>
      </c>
      <c r="S541" s="8">
        <f>Tabelle1[[#This Row],[corr_x]]/1000</f>
        <v>4.14656</v>
      </c>
      <c r="T541" s="8">
        <f>Tabelle1[[#This Row],[corr_y]]/1000</f>
        <v>3.5944799999999999</v>
      </c>
      <c r="U541" s="8">
        <f>Tabelle1[[#This Row],[corr_z]]/1000</f>
        <v>5.6</v>
      </c>
      <c r="V541" s="8">
        <f>Tabelle1[[#This Row],[corr_soma_x]]/1000</f>
        <v>3.91927</v>
      </c>
      <c r="W541" s="8">
        <f>Tabelle1[[#This Row],[corr_soma_y]]/1000</f>
        <v>5.89269</v>
      </c>
      <c r="X541" s="8">
        <f>Tabelle1[[#This Row],[corr_soma_z]]/1000</f>
        <v>0.25</v>
      </c>
    </row>
    <row r="542" spans="1:24" x14ac:dyDescent="0.35">
      <c r="A542" s="7" t="s">
        <v>16</v>
      </c>
      <c r="B542" s="7" t="s">
        <v>18</v>
      </c>
      <c r="C542" s="6">
        <v>24</v>
      </c>
      <c r="D542" s="2">
        <v>3901.92</v>
      </c>
      <c r="E542" s="2">
        <v>3681.91</v>
      </c>
      <c r="F542" s="2">
        <v>6150</v>
      </c>
      <c r="G542" s="2">
        <v>3919.27</v>
      </c>
      <c r="H542" s="2">
        <v>5892.69</v>
      </c>
      <c r="I542" s="2">
        <v>250</v>
      </c>
      <c r="J542" s="2">
        <v>3901.92</v>
      </c>
      <c r="K542" s="2">
        <v>3681.91</v>
      </c>
      <c r="L542" s="2">
        <v>6150</v>
      </c>
      <c r="M542" s="2">
        <v>3919.27</v>
      </c>
      <c r="N542" s="2">
        <v>5892.69</v>
      </c>
      <c r="O542" s="2">
        <v>250</v>
      </c>
      <c r="P542" s="8">
        <v>3.7955599999999999E-2</v>
      </c>
      <c r="Q542" s="8">
        <v>1.54416</v>
      </c>
      <c r="R542" s="8">
        <v>0.139151</v>
      </c>
      <c r="S542" s="8">
        <f>Tabelle1[[#This Row],[corr_x]]/1000</f>
        <v>3.9019200000000001</v>
      </c>
      <c r="T542" s="8">
        <f>Tabelle1[[#This Row],[corr_y]]/1000</f>
        <v>3.6819099999999998</v>
      </c>
      <c r="U542" s="8">
        <f>Tabelle1[[#This Row],[corr_z]]/1000</f>
        <v>6.15</v>
      </c>
      <c r="V542" s="8">
        <f>Tabelle1[[#This Row],[corr_soma_x]]/1000</f>
        <v>3.91927</v>
      </c>
      <c r="W542" s="8">
        <f>Tabelle1[[#This Row],[corr_soma_y]]/1000</f>
        <v>5.89269</v>
      </c>
      <c r="X542" s="8">
        <f>Tabelle1[[#This Row],[corr_soma_z]]/1000</f>
        <v>0.25</v>
      </c>
    </row>
    <row r="543" spans="1:24" x14ac:dyDescent="0.35">
      <c r="A543" s="7" t="s">
        <v>16</v>
      </c>
      <c r="B543" s="7" t="s">
        <v>18</v>
      </c>
      <c r="C543" s="6">
        <v>25</v>
      </c>
      <c r="D543" s="2">
        <v>4183.6000000000004</v>
      </c>
      <c r="E543" s="2">
        <v>3561.1600000000003</v>
      </c>
      <c r="F543" s="2">
        <v>5875</v>
      </c>
      <c r="G543" s="2">
        <v>3919.27</v>
      </c>
      <c r="H543" s="2">
        <v>5892.69</v>
      </c>
      <c r="I543" s="2">
        <v>250</v>
      </c>
      <c r="J543" s="2">
        <v>4183.6000000000004</v>
      </c>
      <c r="K543" s="2">
        <v>3561.1600000000003</v>
      </c>
      <c r="L543" s="2">
        <v>5875</v>
      </c>
      <c r="M543" s="2">
        <v>3919.27</v>
      </c>
      <c r="N543" s="2">
        <v>5892.69</v>
      </c>
      <c r="O543" s="2">
        <v>250</v>
      </c>
      <c r="P543" s="8">
        <v>1.9470299999999999E-2</v>
      </c>
      <c r="Q543" s="8">
        <v>0.47355799999999998</v>
      </c>
      <c r="R543" s="8">
        <v>3.25236E-2</v>
      </c>
      <c r="S543" s="8">
        <f>Tabelle1[[#This Row],[corr_x]]/1000</f>
        <v>4.1836000000000002</v>
      </c>
      <c r="T543" s="8">
        <f>Tabelle1[[#This Row],[corr_y]]/1000</f>
        <v>3.5611600000000001</v>
      </c>
      <c r="U543" s="8">
        <f>Tabelle1[[#This Row],[corr_z]]/1000</f>
        <v>5.875</v>
      </c>
      <c r="V543" s="8">
        <f>Tabelle1[[#This Row],[corr_soma_x]]/1000</f>
        <v>3.91927</v>
      </c>
      <c r="W543" s="8">
        <f>Tabelle1[[#This Row],[corr_soma_y]]/1000</f>
        <v>5.89269</v>
      </c>
      <c r="X543" s="8">
        <f>Tabelle1[[#This Row],[corr_soma_z]]/1000</f>
        <v>0.25</v>
      </c>
    </row>
    <row r="544" spans="1:24" x14ac:dyDescent="0.35">
      <c r="A544" s="7" t="s">
        <v>16</v>
      </c>
      <c r="B544" s="7" t="s">
        <v>18</v>
      </c>
      <c r="C544" s="6">
        <v>26</v>
      </c>
      <c r="D544" s="2">
        <v>4408.8600000000006</v>
      </c>
      <c r="E544" s="2">
        <v>3744.415</v>
      </c>
      <c r="F544" s="2">
        <v>5975</v>
      </c>
      <c r="G544" s="2">
        <v>3919.27</v>
      </c>
      <c r="H544" s="2">
        <v>5892.69</v>
      </c>
      <c r="I544" s="2">
        <v>250</v>
      </c>
      <c r="J544" s="2">
        <v>4408.8600000000006</v>
      </c>
      <c r="K544" s="2">
        <v>3744.415</v>
      </c>
      <c r="L544" s="2">
        <v>5975</v>
      </c>
      <c r="M544" s="2">
        <v>3919.27</v>
      </c>
      <c r="N544" s="2">
        <v>5892.69</v>
      </c>
      <c r="O544" s="2">
        <v>250</v>
      </c>
      <c r="P544" s="8">
        <v>2.4007000000000001E-2</v>
      </c>
      <c r="Q544" s="8">
        <v>1.28976</v>
      </c>
      <c r="R544" s="8">
        <v>4.1342299999999998E-2</v>
      </c>
      <c r="S544" s="8">
        <f>Tabelle1[[#This Row],[corr_x]]/1000</f>
        <v>4.4088600000000007</v>
      </c>
      <c r="T544" s="8">
        <f>Tabelle1[[#This Row],[corr_y]]/1000</f>
        <v>3.744415</v>
      </c>
      <c r="U544" s="8">
        <f>Tabelle1[[#This Row],[corr_z]]/1000</f>
        <v>5.9749999999999996</v>
      </c>
      <c r="V544" s="8">
        <f>Tabelle1[[#This Row],[corr_soma_x]]/1000</f>
        <v>3.91927</v>
      </c>
      <c r="W544" s="8">
        <f>Tabelle1[[#This Row],[corr_soma_y]]/1000</f>
        <v>5.89269</v>
      </c>
      <c r="X544" s="8">
        <f>Tabelle1[[#This Row],[corr_soma_z]]/1000</f>
        <v>0.25</v>
      </c>
    </row>
    <row r="545" spans="1:24" x14ac:dyDescent="0.35">
      <c r="A545" s="7" t="s">
        <v>16</v>
      </c>
      <c r="B545" s="7" t="s">
        <v>19</v>
      </c>
      <c r="C545" s="6">
        <v>4</v>
      </c>
      <c r="D545" s="2">
        <v>3991.44</v>
      </c>
      <c r="E545" s="2">
        <v>4154.9399999999996</v>
      </c>
      <c r="F545" s="2">
        <v>5900</v>
      </c>
      <c r="G545" s="2">
        <v>3919.27</v>
      </c>
      <c r="H545" s="2">
        <v>5892.69</v>
      </c>
      <c r="I545" s="2">
        <v>250</v>
      </c>
      <c r="J545" s="2">
        <v>3991.44</v>
      </c>
      <c r="K545" s="2">
        <v>4154.9399999999996</v>
      </c>
      <c r="L545" s="2">
        <v>5900</v>
      </c>
      <c r="M545" s="2">
        <v>3919.27</v>
      </c>
      <c r="N545" s="2">
        <v>5892.69</v>
      </c>
      <c r="O545" s="2">
        <v>250</v>
      </c>
      <c r="P545" s="8">
        <v>2.32681E-2</v>
      </c>
      <c r="Q545" s="8">
        <v>0.98790699999999998</v>
      </c>
      <c r="R545" s="8">
        <v>5.3088099999999999E-2</v>
      </c>
      <c r="S545" s="8">
        <f>Tabelle1[[#This Row],[corr_x]]/1000</f>
        <v>3.9914399999999999</v>
      </c>
      <c r="T545" s="8">
        <f>Tabelle1[[#This Row],[corr_y]]/1000</f>
        <v>4.1549399999999999</v>
      </c>
      <c r="U545" s="8">
        <f>Tabelle1[[#This Row],[corr_z]]/1000</f>
        <v>5.9</v>
      </c>
      <c r="V545" s="8">
        <f>Tabelle1[[#This Row],[corr_soma_x]]/1000</f>
        <v>3.91927</v>
      </c>
      <c r="W545" s="8">
        <f>Tabelle1[[#This Row],[corr_soma_y]]/1000</f>
        <v>5.89269</v>
      </c>
      <c r="X545" s="8">
        <f>Tabelle1[[#This Row],[corr_soma_z]]/1000</f>
        <v>0.25</v>
      </c>
    </row>
    <row r="546" spans="1:24" x14ac:dyDescent="0.35">
      <c r="A546" s="7" t="s">
        <v>16</v>
      </c>
      <c r="B546" s="7" t="s">
        <v>18</v>
      </c>
      <c r="C546" s="6">
        <v>27</v>
      </c>
      <c r="D546" s="2">
        <v>4533.4799999999996</v>
      </c>
      <c r="E546" s="2">
        <v>3693.33</v>
      </c>
      <c r="F546" s="2">
        <v>6700</v>
      </c>
      <c r="G546" s="2">
        <v>3919.27</v>
      </c>
      <c r="H546" s="2">
        <v>5892.69</v>
      </c>
      <c r="I546" s="2">
        <v>250</v>
      </c>
      <c r="J546" s="2">
        <v>4533.4799999999996</v>
      </c>
      <c r="K546" s="2">
        <v>3693.33</v>
      </c>
      <c r="L546" s="2">
        <v>6700</v>
      </c>
      <c r="M546" s="2">
        <v>3919.27</v>
      </c>
      <c r="N546" s="2">
        <v>5892.69</v>
      </c>
      <c r="O546" s="2">
        <v>250</v>
      </c>
      <c r="P546" s="8">
        <v>1.52073E-2</v>
      </c>
      <c r="Q546" s="8">
        <v>0.52139999999999997</v>
      </c>
      <c r="R546" s="8">
        <v>2.6394299999999999E-2</v>
      </c>
      <c r="S546" s="8">
        <f>Tabelle1[[#This Row],[corr_x]]/1000</f>
        <v>4.53348</v>
      </c>
      <c r="T546" s="8">
        <f>Tabelle1[[#This Row],[corr_y]]/1000</f>
        <v>3.69333</v>
      </c>
      <c r="U546" s="8">
        <f>Tabelle1[[#This Row],[corr_z]]/1000</f>
        <v>6.7</v>
      </c>
      <c r="V546" s="8">
        <f>Tabelle1[[#This Row],[corr_soma_x]]/1000</f>
        <v>3.91927</v>
      </c>
      <c r="W546" s="8">
        <f>Tabelle1[[#This Row],[corr_soma_y]]/1000</f>
        <v>5.89269</v>
      </c>
      <c r="X546" s="8">
        <f>Tabelle1[[#This Row],[corr_soma_z]]/1000</f>
        <v>0.25</v>
      </c>
    </row>
    <row r="547" spans="1:24" x14ac:dyDescent="0.35">
      <c r="A547" s="7" t="s">
        <v>16</v>
      </c>
      <c r="B547" s="7" t="s">
        <v>18</v>
      </c>
      <c r="C547" s="6">
        <v>28</v>
      </c>
      <c r="D547" s="2">
        <v>4596.2</v>
      </c>
      <c r="E547" s="2">
        <v>3590.22</v>
      </c>
      <c r="F547" s="2">
        <v>6675.0000000000009</v>
      </c>
      <c r="G547" s="2">
        <v>3919.27</v>
      </c>
      <c r="H547" s="2">
        <v>5892.69</v>
      </c>
      <c r="I547" s="2">
        <v>250</v>
      </c>
      <c r="J547" s="2">
        <v>4596.2</v>
      </c>
      <c r="K547" s="2">
        <v>3590.22</v>
      </c>
      <c r="L547" s="2">
        <v>6675.0000000000009</v>
      </c>
      <c r="M547" s="2">
        <v>3919.27</v>
      </c>
      <c r="N547" s="2">
        <v>5892.69</v>
      </c>
      <c r="O547" s="2">
        <v>250</v>
      </c>
      <c r="P547" s="8">
        <v>7.8783900000000004E-2</v>
      </c>
      <c r="Q547" s="8">
        <v>3.0991599999999999</v>
      </c>
      <c r="R547" s="8">
        <v>0.30211900000000003</v>
      </c>
      <c r="S547" s="8">
        <f>Tabelle1[[#This Row],[corr_x]]/1000</f>
        <v>4.5961999999999996</v>
      </c>
      <c r="T547" s="8">
        <f>Tabelle1[[#This Row],[corr_y]]/1000</f>
        <v>3.59022</v>
      </c>
      <c r="U547" s="8">
        <f>Tabelle1[[#This Row],[corr_z]]/1000</f>
        <v>6.6750000000000007</v>
      </c>
      <c r="V547" s="8">
        <f>Tabelle1[[#This Row],[corr_soma_x]]/1000</f>
        <v>3.91927</v>
      </c>
      <c r="W547" s="8">
        <f>Tabelle1[[#This Row],[corr_soma_y]]/1000</f>
        <v>5.89269</v>
      </c>
      <c r="X547" s="8">
        <f>Tabelle1[[#This Row],[corr_soma_z]]/1000</f>
        <v>0.25</v>
      </c>
    </row>
    <row r="548" spans="1:24" x14ac:dyDescent="0.35">
      <c r="A548" s="7" t="s">
        <v>16</v>
      </c>
      <c r="B548" s="7" t="s">
        <v>18</v>
      </c>
      <c r="C548" s="6">
        <v>29</v>
      </c>
      <c r="D548" s="2">
        <v>4090.2149999999997</v>
      </c>
      <c r="E548" s="2">
        <v>3700.5549999999998</v>
      </c>
      <c r="F548" s="2">
        <v>6375</v>
      </c>
      <c r="G548" s="2">
        <v>3919.27</v>
      </c>
      <c r="H548" s="2">
        <v>5892.69</v>
      </c>
      <c r="I548" s="2">
        <v>250</v>
      </c>
      <c r="J548" s="2">
        <v>4090.2149999999997</v>
      </c>
      <c r="K548" s="2">
        <v>3700.5549999999998</v>
      </c>
      <c r="L548" s="2">
        <v>6375</v>
      </c>
      <c r="M548" s="2">
        <v>3919.27</v>
      </c>
      <c r="N548" s="2">
        <v>5892.69</v>
      </c>
      <c r="O548" s="2">
        <v>250</v>
      </c>
      <c r="P548" s="8">
        <v>1.6473600000000001E-2</v>
      </c>
      <c r="Q548" s="8">
        <v>3.9500299999999999</v>
      </c>
      <c r="R548" s="8">
        <v>0.27617799999999998</v>
      </c>
      <c r="S548" s="8">
        <f>Tabelle1[[#This Row],[corr_x]]/1000</f>
        <v>4.0902149999999997</v>
      </c>
      <c r="T548" s="8">
        <f>Tabelle1[[#This Row],[corr_y]]/1000</f>
        <v>3.700555</v>
      </c>
      <c r="U548" s="8">
        <f>Tabelle1[[#This Row],[corr_z]]/1000</f>
        <v>6.375</v>
      </c>
      <c r="V548" s="8">
        <f>Tabelle1[[#This Row],[corr_soma_x]]/1000</f>
        <v>3.91927</v>
      </c>
      <c r="W548" s="8">
        <f>Tabelle1[[#This Row],[corr_soma_y]]/1000</f>
        <v>5.89269</v>
      </c>
      <c r="X548" s="8">
        <f>Tabelle1[[#This Row],[corr_soma_z]]/1000</f>
        <v>0.25</v>
      </c>
    </row>
    <row r="549" spans="1:24" x14ac:dyDescent="0.35">
      <c r="A549" s="7" t="s">
        <v>16</v>
      </c>
      <c r="B549" s="7" t="s">
        <v>18</v>
      </c>
      <c r="C549" s="6">
        <v>30</v>
      </c>
      <c r="D549" s="2">
        <v>4378.1350000000002</v>
      </c>
      <c r="E549" s="2">
        <v>3286.9849999999997</v>
      </c>
      <c r="F549" s="2">
        <v>7275</v>
      </c>
      <c r="G549" s="2">
        <v>3919.27</v>
      </c>
      <c r="H549" s="2">
        <v>5892.69</v>
      </c>
      <c r="I549" s="2">
        <v>250</v>
      </c>
      <c r="J549" s="2">
        <v>4378.1350000000002</v>
      </c>
      <c r="K549" s="2">
        <v>3286.9849999999997</v>
      </c>
      <c r="L549" s="2">
        <v>7275</v>
      </c>
      <c r="M549" s="2">
        <v>3919.27</v>
      </c>
      <c r="N549" s="2">
        <v>5892.69</v>
      </c>
      <c r="O549" s="2">
        <v>250</v>
      </c>
      <c r="P549" s="8">
        <v>3.0715300000000001E-2</v>
      </c>
      <c r="Q549" s="8">
        <v>1.2320800000000001</v>
      </c>
      <c r="R549" s="8">
        <v>7.6064000000000007E-2</v>
      </c>
      <c r="S549" s="8">
        <f>Tabelle1[[#This Row],[corr_x]]/1000</f>
        <v>4.3781350000000003</v>
      </c>
      <c r="T549" s="8">
        <f>Tabelle1[[#This Row],[corr_y]]/1000</f>
        <v>3.2869849999999996</v>
      </c>
      <c r="U549" s="8">
        <f>Tabelle1[[#This Row],[corr_z]]/1000</f>
        <v>7.2750000000000004</v>
      </c>
      <c r="V549" s="8">
        <f>Tabelle1[[#This Row],[corr_soma_x]]/1000</f>
        <v>3.91927</v>
      </c>
      <c r="W549" s="8">
        <f>Tabelle1[[#This Row],[corr_soma_y]]/1000</f>
        <v>5.89269</v>
      </c>
      <c r="X549" s="8">
        <f>Tabelle1[[#This Row],[corr_soma_z]]/1000</f>
        <v>0.25</v>
      </c>
    </row>
    <row r="550" spans="1:24" x14ac:dyDescent="0.35">
      <c r="A550" s="7" t="s">
        <v>16</v>
      </c>
      <c r="B550" s="7" t="s">
        <v>18</v>
      </c>
      <c r="C550" s="6">
        <v>31</v>
      </c>
      <c r="D550" s="2">
        <v>4599.1799999999994</v>
      </c>
      <c r="E550" s="2">
        <v>3739.68</v>
      </c>
      <c r="F550" s="2">
        <v>7400</v>
      </c>
      <c r="G550" s="2">
        <v>3919.27</v>
      </c>
      <c r="H550" s="2">
        <v>5892.69</v>
      </c>
      <c r="I550" s="2">
        <v>250</v>
      </c>
      <c r="J550" s="2">
        <v>4599.1799999999994</v>
      </c>
      <c r="K550" s="2">
        <v>3739.68</v>
      </c>
      <c r="L550" s="2">
        <v>7400</v>
      </c>
      <c r="M550" s="2">
        <v>3919.27</v>
      </c>
      <c r="N550" s="2">
        <v>5892.69</v>
      </c>
      <c r="O550" s="2">
        <v>250</v>
      </c>
      <c r="P550" s="8">
        <v>3.0383199999999999E-2</v>
      </c>
      <c r="Q550" s="8">
        <v>1.5770999999999999</v>
      </c>
      <c r="R550" s="8">
        <v>0.132905</v>
      </c>
      <c r="S550" s="8">
        <f>Tabelle1[[#This Row],[corr_x]]/1000</f>
        <v>4.5991799999999996</v>
      </c>
      <c r="T550" s="8">
        <f>Tabelle1[[#This Row],[corr_y]]/1000</f>
        <v>3.7396799999999999</v>
      </c>
      <c r="U550" s="8">
        <f>Tabelle1[[#This Row],[corr_z]]/1000</f>
        <v>7.4</v>
      </c>
      <c r="V550" s="8">
        <f>Tabelle1[[#This Row],[corr_soma_x]]/1000</f>
        <v>3.91927</v>
      </c>
      <c r="W550" s="8">
        <f>Tabelle1[[#This Row],[corr_soma_y]]/1000</f>
        <v>5.89269</v>
      </c>
      <c r="X550" s="8">
        <f>Tabelle1[[#This Row],[corr_soma_z]]/1000</f>
        <v>0.25</v>
      </c>
    </row>
    <row r="551" spans="1:24" x14ac:dyDescent="0.35">
      <c r="A551" s="7" t="s">
        <v>16</v>
      </c>
      <c r="B551" s="7" t="s">
        <v>18</v>
      </c>
      <c r="C551" s="6">
        <v>32</v>
      </c>
      <c r="D551" s="2">
        <v>4531.2700000000004</v>
      </c>
      <c r="E551" s="2">
        <v>3150.51</v>
      </c>
      <c r="F551" s="2">
        <v>7550</v>
      </c>
      <c r="G551" s="2">
        <v>3919.27</v>
      </c>
      <c r="H551" s="2">
        <v>5892.69</v>
      </c>
      <c r="I551" s="2">
        <v>250</v>
      </c>
      <c r="J551" s="2">
        <v>4531.2700000000004</v>
      </c>
      <c r="K551" s="2">
        <v>3150.51</v>
      </c>
      <c r="L551" s="2">
        <v>7550</v>
      </c>
      <c r="M551" s="2">
        <v>3919.27</v>
      </c>
      <c r="N551" s="2">
        <v>5892.69</v>
      </c>
      <c r="O551" s="2">
        <v>250</v>
      </c>
      <c r="P551" s="8">
        <v>2.52807E-2</v>
      </c>
      <c r="Q551" s="8">
        <v>1.03573</v>
      </c>
      <c r="R551" s="8">
        <v>6.0231699999999999E-2</v>
      </c>
      <c r="S551" s="8">
        <f>Tabelle1[[#This Row],[corr_x]]/1000</f>
        <v>4.5312700000000001</v>
      </c>
      <c r="T551" s="8">
        <f>Tabelle1[[#This Row],[corr_y]]/1000</f>
        <v>3.1505100000000001</v>
      </c>
      <c r="U551" s="8">
        <f>Tabelle1[[#This Row],[corr_z]]/1000</f>
        <v>7.55</v>
      </c>
      <c r="V551" s="8">
        <f>Tabelle1[[#This Row],[corr_soma_x]]/1000</f>
        <v>3.91927</v>
      </c>
      <c r="W551" s="8">
        <f>Tabelle1[[#This Row],[corr_soma_y]]/1000</f>
        <v>5.89269</v>
      </c>
      <c r="X551" s="8">
        <f>Tabelle1[[#This Row],[corr_soma_z]]/1000</f>
        <v>0.25</v>
      </c>
    </row>
    <row r="552" spans="1:24" x14ac:dyDescent="0.35">
      <c r="A552" s="7" t="s">
        <v>16</v>
      </c>
      <c r="B552" s="7" t="s">
        <v>18</v>
      </c>
      <c r="C552" s="6">
        <v>33</v>
      </c>
      <c r="D552" s="2">
        <v>4271.55</v>
      </c>
      <c r="E552" s="2">
        <v>3383.2599999999998</v>
      </c>
      <c r="F552" s="2">
        <v>7574.9999999999991</v>
      </c>
      <c r="G552" s="2">
        <v>3919.27</v>
      </c>
      <c r="H552" s="2">
        <v>5892.69</v>
      </c>
      <c r="I552" s="2">
        <v>250</v>
      </c>
      <c r="J552" s="2">
        <v>4271.55</v>
      </c>
      <c r="K552" s="2">
        <v>3383.2599999999998</v>
      </c>
      <c r="L552" s="2">
        <v>7574.9999999999991</v>
      </c>
      <c r="M552" s="2">
        <v>3919.27</v>
      </c>
      <c r="N552" s="2">
        <v>5892.69</v>
      </c>
      <c r="O552" s="2">
        <v>250</v>
      </c>
      <c r="P552" s="8">
        <v>3.0231999999999998E-2</v>
      </c>
      <c r="Q552" s="8">
        <v>0.481543</v>
      </c>
      <c r="R552" s="8">
        <v>2.2956600000000001E-2</v>
      </c>
      <c r="S552" s="8">
        <f>Tabelle1[[#This Row],[corr_x]]/1000</f>
        <v>4.2715500000000004</v>
      </c>
      <c r="T552" s="8">
        <f>Tabelle1[[#This Row],[corr_y]]/1000</f>
        <v>3.3832599999999999</v>
      </c>
      <c r="U552" s="8">
        <f>Tabelle1[[#This Row],[corr_z]]/1000</f>
        <v>7.5749999999999993</v>
      </c>
      <c r="V552" s="8">
        <f>Tabelle1[[#This Row],[corr_soma_x]]/1000</f>
        <v>3.91927</v>
      </c>
      <c r="W552" s="8">
        <f>Tabelle1[[#This Row],[corr_soma_y]]/1000</f>
        <v>5.89269</v>
      </c>
      <c r="X552" s="8">
        <f>Tabelle1[[#This Row],[corr_soma_z]]/1000</f>
        <v>0.25</v>
      </c>
    </row>
    <row r="553" spans="1:24" x14ac:dyDescent="0.35">
      <c r="A553" s="7" t="s">
        <v>16</v>
      </c>
      <c r="B553" s="7" t="s">
        <v>18</v>
      </c>
      <c r="C553" s="6">
        <v>34</v>
      </c>
      <c r="D553" s="2">
        <v>4405.71</v>
      </c>
      <c r="E553" s="2">
        <v>3674.29</v>
      </c>
      <c r="F553" s="2">
        <v>7750</v>
      </c>
      <c r="G553" s="2">
        <v>3919.27</v>
      </c>
      <c r="H553" s="2">
        <v>5892.69</v>
      </c>
      <c r="I553" s="2">
        <v>250</v>
      </c>
      <c r="J553" s="2">
        <v>4405.71</v>
      </c>
      <c r="K553" s="2">
        <v>3674.29</v>
      </c>
      <c r="L553" s="2">
        <v>7750</v>
      </c>
      <c r="M553" s="2">
        <v>3919.27</v>
      </c>
      <c r="N553" s="2">
        <v>5892.69</v>
      </c>
      <c r="O553" s="2">
        <v>250</v>
      </c>
      <c r="P553" s="8">
        <v>7.7835299999999996E-2</v>
      </c>
      <c r="Q553" s="8">
        <v>2.0537299999999998</v>
      </c>
      <c r="R553" s="8">
        <v>0.18887699999999999</v>
      </c>
      <c r="S553" s="8">
        <f>Tabelle1[[#This Row],[corr_x]]/1000</f>
        <v>4.40571</v>
      </c>
      <c r="T553" s="8">
        <f>Tabelle1[[#This Row],[corr_y]]/1000</f>
        <v>3.6742900000000001</v>
      </c>
      <c r="U553" s="8">
        <f>Tabelle1[[#This Row],[corr_z]]/1000</f>
        <v>7.75</v>
      </c>
      <c r="V553" s="8">
        <f>Tabelle1[[#This Row],[corr_soma_x]]/1000</f>
        <v>3.91927</v>
      </c>
      <c r="W553" s="8">
        <f>Tabelle1[[#This Row],[corr_soma_y]]/1000</f>
        <v>5.89269</v>
      </c>
      <c r="X553" s="8">
        <f>Tabelle1[[#This Row],[corr_soma_z]]/1000</f>
        <v>0.25</v>
      </c>
    </row>
    <row r="554" spans="1:24" x14ac:dyDescent="0.35">
      <c r="A554" s="7" t="s">
        <v>16</v>
      </c>
      <c r="B554" s="7" t="s">
        <v>18</v>
      </c>
      <c r="C554" s="6">
        <v>35</v>
      </c>
      <c r="D554" s="2">
        <v>4866.7800000000007</v>
      </c>
      <c r="E554" s="2">
        <v>3199.6349999999998</v>
      </c>
      <c r="F554" s="2">
        <v>7425.0000000000009</v>
      </c>
      <c r="G554" s="2">
        <v>3919.27</v>
      </c>
      <c r="H554" s="2">
        <v>5892.69</v>
      </c>
      <c r="I554" s="2">
        <v>250</v>
      </c>
      <c r="J554" s="2">
        <v>4866.7800000000007</v>
      </c>
      <c r="K554" s="2">
        <v>3199.6349999999998</v>
      </c>
      <c r="L554" s="2">
        <v>7425.0000000000009</v>
      </c>
      <c r="M554" s="2">
        <v>3919.27</v>
      </c>
      <c r="N554" s="2">
        <v>5892.69</v>
      </c>
      <c r="O554" s="2">
        <v>250</v>
      </c>
      <c r="P554" s="8">
        <v>1.6517E-2</v>
      </c>
      <c r="Q554" s="8">
        <v>1.3474299999999999</v>
      </c>
      <c r="R554" s="8">
        <v>5.6924299999999997E-2</v>
      </c>
      <c r="S554" s="8">
        <f>Tabelle1[[#This Row],[corr_x]]/1000</f>
        <v>4.8667800000000003</v>
      </c>
      <c r="T554" s="8">
        <f>Tabelle1[[#This Row],[corr_y]]/1000</f>
        <v>3.1996349999999998</v>
      </c>
      <c r="U554" s="8">
        <f>Tabelle1[[#This Row],[corr_z]]/1000</f>
        <v>7.4250000000000007</v>
      </c>
      <c r="V554" s="8">
        <f>Tabelle1[[#This Row],[corr_soma_x]]/1000</f>
        <v>3.91927</v>
      </c>
      <c r="W554" s="8">
        <f>Tabelle1[[#This Row],[corr_soma_y]]/1000</f>
        <v>5.89269</v>
      </c>
      <c r="X554" s="8">
        <f>Tabelle1[[#This Row],[corr_soma_z]]/1000</f>
        <v>0.25</v>
      </c>
    </row>
    <row r="555" spans="1:24" x14ac:dyDescent="0.35">
      <c r="A555" s="7" t="s">
        <v>16</v>
      </c>
      <c r="B555" s="7" t="s">
        <v>18</v>
      </c>
      <c r="C555" s="6">
        <v>36</v>
      </c>
      <c r="D555" s="2">
        <v>4215.42</v>
      </c>
      <c r="E555" s="2">
        <v>3365.7400000000002</v>
      </c>
      <c r="F555" s="2">
        <v>8050.0000000000009</v>
      </c>
      <c r="G555" s="2">
        <v>3919.27</v>
      </c>
      <c r="H555" s="2">
        <v>5892.69</v>
      </c>
      <c r="I555" s="2">
        <v>250</v>
      </c>
      <c r="J555" s="2">
        <v>4215.42</v>
      </c>
      <c r="K555" s="2">
        <v>3365.7400000000002</v>
      </c>
      <c r="L555" s="2">
        <v>8050.0000000000009</v>
      </c>
      <c r="M555" s="2">
        <v>3919.27</v>
      </c>
      <c r="N555" s="2">
        <v>5892.69</v>
      </c>
      <c r="O555" s="2">
        <v>250</v>
      </c>
      <c r="P555" s="8">
        <v>7.5227500000000003E-2</v>
      </c>
      <c r="Q555" s="8">
        <v>1.4860500000000001</v>
      </c>
      <c r="R555" s="8">
        <v>8.1323000000000006E-2</v>
      </c>
      <c r="S555" s="8">
        <f>Tabelle1[[#This Row],[corr_x]]/1000</f>
        <v>4.2154199999999999</v>
      </c>
      <c r="T555" s="8">
        <f>Tabelle1[[#This Row],[corr_y]]/1000</f>
        <v>3.3657400000000002</v>
      </c>
      <c r="U555" s="8">
        <f>Tabelle1[[#This Row],[corr_z]]/1000</f>
        <v>8.0500000000000007</v>
      </c>
      <c r="V555" s="8">
        <f>Tabelle1[[#This Row],[corr_soma_x]]/1000</f>
        <v>3.91927</v>
      </c>
      <c r="W555" s="8">
        <f>Tabelle1[[#This Row],[corr_soma_y]]/1000</f>
        <v>5.89269</v>
      </c>
      <c r="X555" s="8">
        <f>Tabelle1[[#This Row],[corr_soma_z]]/1000</f>
        <v>0.25</v>
      </c>
    </row>
    <row r="556" spans="1:24" x14ac:dyDescent="0.35">
      <c r="A556" s="7" t="s">
        <v>16</v>
      </c>
      <c r="B556" s="7" t="s">
        <v>18</v>
      </c>
      <c r="C556" s="6">
        <v>37</v>
      </c>
      <c r="D556" s="2">
        <v>4681.5600000000004</v>
      </c>
      <c r="E556" s="2">
        <v>3010.2700000000004</v>
      </c>
      <c r="F556" s="2">
        <v>7875</v>
      </c>
      <c r="G556" s="2">
        <v>3919.27</v>
      </c>
      <c r="H556" s="2">
        <v>5892.69</v>
      </c>
      <c r="I556" s="2">
        <v>250</v>
      </c>
      <c r="J556" s="2">
        <v>4681.5600000000004</v>
      </c>
      <c r="K556" s="2">
        <v>3010.2700000000004</v>
      </c>
      <c r="L556" s="2">
        <v>7875</v>
      </c>
      <c r="M556" s="2">
        <v>3919.27</v>
      </c>
      <c r="N556" s="2">
        <v>5892.69</v>
      </c>
      <c r="O556" s="2">
        <v>250</v>
      </c>
      <c r="P556" s="8">
        <v>3.0552900000000001E-2</v>
      </c>
      <c r="Q556" s="8">
        <v>0.97636999999999996</v>
      </c>
      <c r="R556" s="8">
        <v>4.5377300000000002E-2</v>
      </c>
      <c r="S556" s="8">
        <f>Tabelle1[[#This Row],[corr_x]]/1000</f>
        <v>4.6815600000000002</v>
      </c>
      <c r="T556" s="8">
        <f>Tabelle1[[#This Row],[corr_y]]/1000</f>
        <v>3.0102700000000002</v>
      </c>
      <c r="U556" s="8">
        <f>Tabelle1[[#This Row],[corr_z]]/1000</f>
        <v>7.875</v>
      </c>
      <c r="V556" s="8">
        <f>Tabelle1[[#This Row],[corr_soma_x]]/1000</f>
        <v>3.91927</v>
      </c>
      <c r="W556" s="8">
        <f>Tabelle1[[#This Row],[corr_soma_y]]/1000</f>
        <v>5.89269</v>
      </c>
      <c r="X556" s="8">
        <f>Tabelle1[[#This Row],[corr_soma_z]]/1000</f>
        <v>0.25</v>
      </c>
    </row>
    <row r="557" spans="1:24" x14ac:dyDescent="0.35">
      <c r="A557" s="7" t="s">
        <v>16</v>
      </c>
      <c r="B557" s="7" t="s">
        <v>19</v>
      </c>
      <c r="C557" s="6">
        <v>5</v>
      </c>
      <c r="D557" s="2">
        <v>4799.2299999999996</v>
      </c>
      <c r="E557" s="2">
        <v>3534.3549999999996</v>
      </c>
      <c r="F557" s="2">
        <v>7950</v>
      </c>
      <c r="G557" s="2">
        <v>3919.27</v>
      </c>
      <c r="H557" s="2">
        <v>5892.69</v>
      </c>
      <c r="I557" s="2">
        <v>250</v>
      </c>
      <c r="J557" s="2">
        <v>4799.2299999999996</v>
      </c>
      <c r="K557" s="2">
        <v>3534.3549999999996</v>
      </c>
      <c r="L557" s="2">
        <v>7950</v>
      </c>
      <c r="M557" s="2">
        <v>3919.27</v>
      </c>
      <c r="N557" s="2">
        <v>5892.69</v>
      </c>
      <c r="O557" s="2">
        <v>250</v>
      </c>
      <c r="P557" s="8">
        <v>6.6764599999999993E-2</v>
      </c>
      <c r="Q557" s="8">
        <v>2.8857200000000001</v>
      </c>
      <c r="R557" s="8">
        <v>0.21962200000000001</v>
      </c>
      <c r="S557" s="8">
        <f>Tabelle1[[#This Row],[corr_x]]/1000</f>
        <v>4.7992299999999997</v>
      </c>
      <c r="T557" s="8">
        <f>Tabelle1[[#This Row],[corr_y]]/1000</f>
        <v>3.5343549999999997</v>
      </c>
      <c r="U557" s="8">
        <f>Tabelle1[[#This Row],[corr_z]]/1000</f>
        <v>7.95</v>
      </c>
      <c r="V557" s="8">
        <f>Tabelle1[[#This Row],[corr_soma_x]]/1000</f>
        <v>3.91927</v>
      </c>
      <c r="W557" s="8">
        <f>Tabelle1[[#This Row],[corr_soma_y]]/1000</f>
        <v>5.89269</v>
      </c>
      <c r="X557" s="8">
        <f>Tabelle1[[#This Row],[corr_soma_z]]/1000</f>
        <v>0.25</v>
      </c>
    </row>
    <row r="558" spans="1:24" x14ac:dyDescent="0.35">
      <c r="A558" s="7" t="s">
        <v>16</v>
      </c>
      <c r="B558" s="7" t="s">
        <v>18</v>
      </c>
      <c r="C558" s="6">
        <v>38</v>
      </c>
      <c r="D558" s="2">
        <v>5178.6099999999997</v>
      </c>
      <c r="E558" s="2">
        <v>3197.02</v>
      </c>
      <c r="F558" s="2">
        <v>7900</v>
      </c>
      <c r="G558" s="2">
        <v>3919.27</v>
      </c>
      <c r="H558" s="2">
        <v>5892.69</v>
      </c>
      <c r="I558" s="2">
        <v>250</v>
      </c>
      <c r="J558" s="2">
        <v>5178.6099999999997</v>
      </c>
      <c r="K558" s="2">
        <v>3197.02</v>
      </c>
      <c r="L558" s="2">
        <v>7900</v>
      </c>
      <c r="M558" s="2">
        <v>3919.27</v>
      </c>
      <c r="N558" s="2">
        <v>5892.69</v>
      </c>
      <c r="O558" s="2">
        <v>250</v>
      </c>
      <c r="P558" s="8">
        <v>2.6266600000000001E-2</v>
      </c>
      <c r="Q558" s="8">
        <v>2.0719099999999999</v>
      </c>
      <c r="R558" s="8">
        <v>0.121848</v>
      </c>
      <c r="S558" s="8">
        <f>Tabelle1[[#This Row],[corr_x]]/1000</f>
        <v>5.1786099999999999</v>
      </c>
      <c r="T558" s="8">
        <f>Tabelle1[[#This Row],[corr_y]]/1000</f>
        <v>3.1970200000000002</v>
      </c>
      <c r="U558" s="8">
        <f>Tabelle1[[#This Row],[corr_z]]/1000</f>
        <v>7.9</v>
      </c>
      <c r="V558" s="8">
        <f>Tabelle1[[#This Row],[corr_soma_x]]/1000</f>
        <v>3.91927</v>
      </c>
      <c r="W558" s="8">
        <f>Tabelle1[[#This Row],[corr_soma_y]]/1000</f>
        <v>5.89269</v>
      </c>
      <c r="X558" s="8">
        <f>Tabelle1[[#This Row],[corr_soma_z]]/1000</f>
        <v>0.25</v>
      </c>
    </row>
    <row r="559" spans="1:24" x14ac:dyDescent="0.35">
      <c r="A559" s="7" t="s">
        <v>16</v>
      </c>
      <c r="B559" s="7" t="s">
        <v>18</v>
      </c>
      <c r="C559" s="6">
        <v>39</v>
      </c>
      <c r="D559" s="2">
        <v>5395.3499999999995</v>
      </c>
      <c r="E559" s="2">
        <v>3035.64</v>
      </c>
      <c r="F559" s="2">
        <v>8200</v>
      </c>
      <c r="G559" s="2">
        <v>3919.27</v>
      </c>
      <c r="H559" s="2">
        <v>5892.69</v>
      </c>
      <c r="I559" s="2">
        <v>250</v>
      </c>
      <c r="J559" s="2">
        <v>5395.3499999999995</v>
      </c>
      <c r="K559" s="2">
        <v>3035.64</v>
      </c>
      <c r="L559" s="2">
        <v>8200</v>
      </c>
      <c r="M559" s="2">
        <v>3919.27</v>
      </c>
      <c r="N559" s="2">
        <v>5892.69</v>
      </c>
      <c r="O559" s="2">
        <v>250</v>
      </c>
      <c r="P559" s="8">
        <v>9.8685700000000001E-2</v>
      </c>
      <c r="Q559" s="8">
        <v>2.1886700000000001</v>
      </c>
      <c r="R559" s="8">
        <v>0.164552</v>
      </c>
      <c r="S559" s="8">
        <f>Tabelle1[[#This Row],[corr_x]]/1000</f>
        <v>5.3953499999999996</v>
      </c>
      <c r="T559" s="8">
        <f>Tabelle1[[#This Row],[corr_y]]/1000</f>
        <v>3.0356399999999999</v>
      </c>
      <c r="U559" s="8">
        <f>Tabelle1[[#This Row],[corr_z]]/1000</f>
        <v>8.1999999999999993</v>
      </c>
      <c r="V559" s="8">
        <f>Tabelle1[[#This Row],[corr_soma_x]]/1000</f>
        <v>3.91927</v>
      </c>
      <c r="W559" s="8">
        <f>Tabelle1[[#This Row],[corr_soma_y]]/1000</f>
        <v>5.89269</v>
      </c>
      <c r="X559" s="8">
        <f>Tabelle1[[#This Row],[corr_soma_z]]/1000</f>
        <v>0.25</v>
      </c>
    </row>
    <row r="560" spans="1:24" x14ac:dyDescent="0.35">
      <c r="A560" s="7" t="s">
        <v>16</v>
      </c>
      <c r="B560" s="7" t="s">
        <v>19</v>
      </c>
      <c r="C560" s="6">
        <v>6</v>
      </c>
      <c r="D560" s="2">
        <v>5190.5950000000003</v>
      </c>
      <c r="E560" s="2">
        <v>2734.96</v>
      </c>
      <c r="F560" s="2">
        <v>7975</v>
      </c>
      <c r="G560" s="2">
        <v>3919.27</v>
      </c>
      <c r="H560" s="2">
        <v>5892.69</v>
      </c>
      <c r="I560" s="2">
        <v>250</v>
      </c>
      <c r="J560" s="2">
        <v>5190.5950000000003</v>
      </c>
      <c r="K560" s="2">
        <v>2734.96</v>
      </c>
      <c r="L560" s="2">
        <v>7975</v>
      </c>
      <c r="M560" s="2">
        <v>3919.27</v>
      </c>
      <c r="N560" s="2">
        <v>5892.69</v>
      </c>
      <c r="O560" s="2">
        <v>250</v>
      </c>
      <c r="P560" s="8">
        <v>1.9507400000000001E-2</v>
      </c>
      <c r="Q560" s="8">
        <v>2.12541</v>
      </c>
      <c r="R560" s="8">
        <v>0.16639599999999999</v>
      </c>
      <c r="S560" s="8">
        <f>Tabelle1[[#This Row],[corr_x]]/1000</f>
        <v>5.1905950000000001</v>
      </c>
      <c r="T560" s="8">
        <f>Tabelle1[[#This Row],[corr_y]]/1000</f>
        <v>2.7349600000000001</v>
      </c>
      <c r="U560" s="8">
        <f>Tabelle1[[#This Row],[corr_z]]/1000</f>
        <v>7.9749999999999996</v>
      </c>
      <c r="V560" s="8">
        <f>Tabelle1[[#This Row],[corr_soma_x]]/1000</f>
        <v>3.91927</v>
      </c>
      <c r="W560" s="8">
        <f>Tabelle1[[#This Row],[corr_soma_y]]/1000</f>
        <v>5.89269</v>
      </c>
      <c r="X560" s="8">
        <f>Tabelle1[[#This Row],[corr_soma_z]]/1000</f>
        <v>0.25</v>
      </c>
    </row>
    <row r="561" spans="1:24" x14ac:dyDescent="0.35">
      <c r="A561" s="7" t="s">
        <v>16</v>
      </c>
      <c r="B561" s="7" t="s">
        <v>18</v>
      </c>
      <c r="C561" s="6">
        <v>40</v>
      </c>
      <c r="D561" s="2">
        <v>5541.11</v>
      </c>
      <c r="E561" s="2">
        <v>2784.7299999999996</v>
      </c>
      <c r="F561" s="2">
        <v>8375</v>
      </c>
      <c r="G561" s="2">
        <v>3919.27</v>
      </c>
      <c r="H561" s="2">
        <v>5892.69</v>
      </c>
      <c r="I561" s="2">
        <v>250</v>
      </c>
      <c r="J561" s="2">
        <v>5541.11</v>
      </c>
      <c r="K561" s="2">
        <v>2784.7299999999996</v>
      </c>
      <c r="L561" s="2">
        <v>8375</v>
      </c>
      <c r="M561" s="2">
        <v>3919.27</v>
      </c>
      <c r="N561" s="2">
        <v>5892.69</v>
      </c>
      <c r="O561" s="2">
        <v>250</v>
      </c>
      <c r="P561" s="8">
        <v>3.2369000000000002E-2</v>
      </c>
      <c r="Q561" s="8">
        <v>0.925956</v>
      </c>
      <c r="R561" s="8">
        <v>3.23139E-2</v>
      </c>
      <c r="S561" s="8">
        <f>Tabelle1[[#This Row],[corr_x]]/1000</f>
        <v>5.5411099999999998</v>
      </c>
      <c r="T561" s="8">
        <f>Tabelle1[[#This Row],[corr_y]]/1000</f>
        <v>2.7847299999999997</v>
      </c>
      <c r="U561" s="8">
        <f>Tabelle1[[#This Row],[corr_z]]/1000</f>
        <v>8.375</v>
      </c>
      <c r="V561" s="8">
        <f>Tabelle1[[#This Row],[corr_soma_x]]/1000</f>
        <v>3.91927</v>
      </c>
      <c r="W561" s="8">
        <f>Tabelle1[[#This Row],[corr_soma_y]]/1000</f>
        <v>5.89269</v>
      </c>
      <c r="X561" s="8">
        <f>Tabelle1[[#This Row],[corr_soma_z]]/1000</f>
        <v>0.25</v>
      </c>
    </row>
    <row r="562" spans="1:24" x14ac:dyDescent="0.35">
      <c r="A562" s="7" t="s">
        <v>16</v>
      </c>
      <c r="B562" s="7" t="s">
        <v>18</v>
      </c>
      <c r="C562" s="6">
        <v>41</v>
      </c>
      <c r="D562" s="2">
        <v>4656.415</v>
      </c>
      <c r="E562" s="2">
        <v>2854.9449999999997</v>
      </c>
      <c r="F562" s="2">
        <v>8375</v>
      </c>
      <c r="G562" s="2">
        <v>3919.27</v>
      </c>
      <c r="H562" s="2">
        <v>5892.69</v>
      </c>
      <c r="I562" s="2">
        <v>250</v>
      </c>
      <c r="J562" s="2">
        <v>4656.415</v>
      </c>
      <c r="K562" s="2">
        <v>2854.9449999999997</v>
      </c>
      <c r="L562" s="2">
        <v>8375</v>
      </c>
      <c r="M562" s="2">
        <v>3919.27</v>
      </c>
      <c r="N562" s="2">
        <v>5892.69</v>
      </c>
      <c r="O562" s="2">
        <v>250</v>
      </c>
      <c r="P562" s="8">
        <v>5.7542900000000001E-2</v>
      </c>
      <c r="Q562" s="8">
        <v>2.16649</v>
      </c>
      <c r="R562" s="8">
        <v>0.13789000000000001</v>
      </c>
      <c r="S562" s="8">
        <f>Tabelle1[[#This Row],[corr_x]]/1000</f>
        <v>4.656415</v>
      </c>
      <c r="T562" s="8">
        <f>Tabelle1[[#This Row],[corr_y]]/1000</f>
        <v>2.8549449999999998</v>
      </c>
      <c r="U562" s="8">
        <f>Tabelle1[[#This Row],[corr_z]]/1000</f>
        <v>8.375</v>
      </c>
      <c r="V562" s="8">
        <f>Tabelle1[[#This Row],[corr_soma_x]]/1000</f>
        <v>3.91927</v>
      </c>
      <c r="W562" s="8">
        <f>Tabelle1[[#This Row],[corr_soma_y]]/1000</f>
        <v>5.89269</v>
      </c>
      <c r="X562" s="8">
        <f>Tabelle1[[#This Row],[corr_soma_z]]/1000</f>
        <v>0.25</v>
      </c>
    </row>
    <row r="563" spans="1:24" x14ac:dyDescent="0.35">
      <c r="A563" s="7" t="s">
        <v>16</v>
      </c>
      <c r="B563" s="7" t="s">
        <v>18</v>
      </c>
      <c r="C563" s="6">
        <v>42</v>
      </c>
      <c r="D563" s="2">
        <v>5182.869999999999</v>
      </c>
      <c r="E563" s="2">
        <v>3262.8449999999998</v>
      </c>
      <c r="F563" s="2">
        <v>8375</v>
      </c>
      <c r="G563" s="2">
        <v>3919.27</v>
      </c>
      <c r="H563" s="2">
        <v>5892.69</v>
      </c>
      <c r="I563" s="2">
        <v>250</v>
      </c>
      <c r="J563" s="2">
        <v>5182.869999999999</v>
      </c>
      <c r="K563" s="2">
        <v>3262.8449999999998</v>
      </c>
      <c r="L563" s="2">
        <v>8375</v>
      </c>
      <c r="M563" s="2">
        <v>3919.27</v>
      </c>
      <c r="N563" s="2">
        <v>5892.69</v>
      </c>
      <c r="O563" s="2">
        <v>250</v>
      </c>
      <c r="P563" s="8">
        <v>2.5138799999999999E-2</v>
      </c>
      <c r="Q563" s="8">
        <v>1.39164</v>
      </c>
      <c r="R563" s="8">
        <v>8.2159499999999996E-2</v>
      </c>
      <c r="S563" s="8">
        <f>Tabelle1[[#This Row],[corr_x]]/1000</f>
        <v>5.1828699999999994</v>
      </c>
      <c r="T563" s="8">
        <f>Tabelle1[[#This Row],[corr_y]]/1000</f>
        <v>3.262845</v>
      </c>
      <c r="U563" s="8">
        <f>Tabelle1[[#This Row],[corr_z]]/1000</f>
        <v>8.375</v>
      </c>
      <c r="V563" s="8">
        <f>Tabelle1[[#This Row],[corr_soma_x]]/1000</f>
        <v>3.91927</v>
      </c>
      <c r="W563" s="8">
        <f>Tabelle1[[#This Row],[corr_soma_y]]/1000</f>
        <v>5.89269</v>
      </c>
      <c r="X563" s="8">
        <f>Tabelle1[[#This Row],[corr_soma_z]]/1000</f>
        <v>0.25</v>
      </c>
    </row>
    <row r="564" spans="1:24" x14ac:dyDescent="0.35">
      <c r="A564" s="7" t="s">
        <v>16</v>
      </c>
      <c r="B564" s="7" t="s">
        <v>18</v>
      </c>
      <c r="C564" s="6">
        <v>43</v>
      </c>
      <c r="D564" s="2">
        <v>5293.36</v>
      </c>
      <c r="E564" s="2">
        <v>2526.09</v>
      </c>
      <c r="F564" s="2">
        <v>8500</v>
      </c>
      <c r="G564" s="2">
        <v>3919.27</v>
      </c>
      <c r="H564" s="2">
        <v>5892.69</v>
      </c>
      <c r="I564" s="2">
        <v>250</v>
      </c>
      <c r="J564" s="2">
        <v>5293.36</v>
      </c>
      <c r="K564" s="2">
        <v>2526.09</v>
      </c>
      <c r="L564" s="2">
        <v>8500</v>
      </c>
      <c r="M564" s="2">
        <v>3919.27</v>
      </c>
      <c r="N564" s="2">
        <v>5892.69</v>
      </c>
      <c r="O564" s="2">
        <v>250</v>
      </c>
      <c r="P564" s="8">
        <v>5.6790500000000001E-2</v>
      </c>
      <c r="Q564" s="8">
        <v>1.04772</v>
      </c>
      <c r="R564" s="8">
        <v>7.0977899999999997E-2</v>
      </c>
      <c r="S564" s="8">
        <f>Tabelle1[[#This Row],[corr_x]]/1000</f>
        <v>5.2933599999999998</v>
      </c>
      <c r="T564" s="8">
        <f>Tabelle1[[#This Row],[corr_y]]/1000</f>
        <v>2.5260899999999999</v>
      </c>
      <c r="U564" s="8">
        <f>Tabelle1[[#This Row],[corr_z]]/1000</f>
        <v>8.5</v>
      </c>
      <c r="V564" s="8">
        <f>Tabelle1[[#This Row],[corr_soma_x]]/1000</f>
        <v>3.91927</v>
      </c>
      <c r="W564" s="8">
        <f>Tabelle1[[#This Row],[corr_soma_y]]/1000</f>
        <v>5.89269</v>
      </c>
      <c r="X564" s="8">
        <f>Tabelle1[[#This Row],[corr_soma_z]]/1000</f>
        <v>0.25</v>
      </c>
    </row>
    <row r="565" spans="1:24" x14ac:dyDescent="0.35">
      <c r="A565" s="7" t="s">
        <v>16</v>
      </c>
      <c r="B565" s="7" t="s">
        <v>18</v>
      </c>
      <c r="C565" s="6">
        <v>44</v>
      </c>
      <c r="D565" s="2">
        <v>5016.3450000000003</v>
      </c>
      <c r="E565" s="2">
        <v>2526</v>
      </c>
      <c r="F565" s="2">
        <v>8625</v>
      </c>
      <c r="G565" s="2">
        <v>3919.27</v>
      </c>
      <c r="H565" s="2">
        <v>5892.69</v>
      </c>
      <c r="I565" s="2">
        <v>250</v>
      </c>
      <c r="J565" s="2">
        <v>5016.3450000000003</v>
      </c>
      <c r="K565" s="2">
        <v>2526</v>
      </c>
      <c r="L565" s="2">
        <v>8625</v>
      </c>
      <c r="M565" s="2">
        <v>3919.27</v>
      </c>
      <c r="N565" s="2">
        <v>5892.69</v>
      </c>
      <c r="O565" s="2">
        <v>250</v>
      </c>
      <c r="P565" s="8">
        <v>3.2061699999999999E-2</v>
      </c>
      <c r="Q565" s="8">
        <v>0.80102700000000004</v>
      </c>
      <c r="R565" s="8">
        <v>3.6200099999999999E-2</v>
      </c>
      <c r="S565" s="8">
        <f>Tabelle1[[#This Row],[corr_x]]/1000</f>
        <v>5.0163450000000003</v>
      </c>
      <c r="T565" s="8">
        <f>Tabelle1[[#This Row],[corr_y]]/1000</f>
        <v>2.5259999999999998</v>
      </c>
      <c r="U565" s="8">
        <f>Tabelle1[[#This Row],[corr_z]]/1000</f>
        <v>8.625</v>
      </c>
      <c r="V565" s="8">
        <f>Tabelle1[[#This Row],[corr_soma_x]]/1000</f>
        <v>3.91927</v>
      </c>
      <c r="W565" s="8">
        <f>Tabelle1[[#This Row],[corr_soma_y]]/1000</f>
        <v>5.89269</v>
      </c>
      <c r="X565" s="8">
        <f>Tabelle1[[#This Row],[corr_soma_z]]/1000</f>
        <v>0.25</v>
      </c>
    </row>
    <row r="566" spans="1:24" x14ac:dyDescent="0.35">
      <c r="A566" s="7" t="s">
        <v>16</v>
      </c>
      <c r="B566" s="7" t="s">
        <v>18</v>
      </c>
      <c r="C566" s="6">
        <v>45</v>
      </c>
      <c r="D566" s="2">
        <v>4769.5999999999995</v>
      </c>
      <c r="E566" s="2">
        <v>2726.83</v>
      </c>
      <c r="F566" s="2">
        <v>8700</v>
      </c>
      <c r="G566" s="2">
        <v>3919.27</v>
      </c>
      <c r="H566" s="2">
        <v>5892.69</v>
      </c>
      <c r="I566" s="2">
        <v>250</v>
      </c>
      <c r="J566" s="2">
        <v>4769.5999999999995</v>
      </c>
      <c r="K566" s="2">
        <v>2726.83</v>
      </c>
      <c r="L566" s="2">
        <v>8700</v>
      </c>
      <c r="M566" s="2">
        <v>3919.27</v>
      </c>
      <c r="N566" s="2">
        <v>5892.69</v>
      </c>
      <c r="O566" s="2">
        <v>250</v>
      </c>
      <c r="P566" s="8">
        <v>5.0150599999999997E-2</v>
      </c>
      <c r="Q566" s="8">
        <v>0.96442799999999995</v>
      </c>
      <c r="R566" s="8">
        <v>5.1960899999999997E-2</v>
      </c>
      <c r="S566" s="8">
        <f>Tabelle1[[#This Row],[corr_x]]/1000</f>
        <v>4.7695999999999996</v>
      </c>
      <c r="T566" s="8">
        <f>Tabelle1[[#This Row],[corr_y]]/1000</f>
        <v>2.7268300000000001</v>
      </c>
      <c r="U566" s="8">
        <f>Tabelle1[[#This Row],[corr_z]]/1000</f>
        <v>8.6999999999999993</v>
      </c>
      <c r="V566" s="8">
        <f>Tabelle1[[#This Row],[corr_soma_x]]/1000</f>
        <v>3.91927</v>
      </c>
      <c r="W566" s="8">
        <f>Tabelle1[[#This Row],[corr_soma_y]]/1000</f>
        <v>5.89269</v>
      </c>
      <c r="X566" s="8">
        <f>Tabelle1[[#This Row],[corr_soma_z]]/1000</f>
        <v>0.25</v>
      </c>
    </row>
    <row r="567" spans="1:24" x14ac:dyDescent="0.35">
      <c r="A567" s="7" t="s">
        <v>16</v>
      </c>
      <c r="B567" s="7" t="s">
        <v>18</v>
      </c>
      <c r="C567" s="6">
        <v>46</v>
      </c>
      <c r="D567" s="2">
        <v>4750.55</v>
      </c>
      <c r="E567" s="2">
        <v>3045.4450000000002</v>
      </c>
      <c r="F567" s="2">
        <v>8825</v>
      </c>
      <c r="G567" s="2">
        <v>3919.27</v>
      </c>
      <c r="H567" s="2">
        <v>5892.69</v>
      </c>
      <c r="I567" s="2">
        <v>250</v>
      </c>
      <c r="J567" s="2">
        <v>4750.55</v>
      </c>
      <c r="K567" s="2">
        <v>3045.4450000000002</v>
      </c>
      <c r="L567" s="2">
        <v>8825</v>
      </c>
      <c r="M567" s="2">
        <v>3919.27</v>
      </c>
      <c r="N567" s="2">
        <v>5892.69</v>
      </c>
      <c r="O567" s="2">
        <v>250</v>
      </c>
      <c r="P567" s="8">
        <v>3.0129800000000002E-2</v>
      </c>
      <c r="Q567" s="8">
        <v>3.10534</v>
      </c>
      <c r="R567" s="8">
        <v>0.24653800000000001</v>
      </c>
      <c r="S567" s="8">
        <f>Tabelle1[[#This Row],[corr_x]]/1000</f>
        <v>4.7505500000000005</v>
      </c>
      <c r="T567" s="8">
        <f>Tabelle1[[#This Row],[corr_y]]/1000</f>
        <v>3.045445</v>
      </c>
      <c r="U567" s="8">
        <f>Tabelle1[[#This Row],[corr_z]]/1000</f>
        <v>8.8249999999999993</v>
      </c>
      <c r="V567" s="8">
        <f>Tabelle1[[#This Row],[corr_soma_x]]/1000</f>
        <v>3.91927</v>
      </c>
      <c r="W567" s="8">
        <f>Tabelle1[[#This Row],[corr_soma_y]]/1000</f>
        <v>5.89269</v>
      </c>
      <c r="X567" s="8">
        <f>Tabelle1[[#This Row],[corr_soma_z]]/1000</f>
        <v>0.25</v>
      </c>
    </row>
    <row r="568" spans="1:24" x14ac:dyDescent="0.35">
      <c r="A568" s="7" t="s">
        <v>16</v>
      </c>
      <c r="B568" s="7" t="s">
        <v>18</v>
      </c>
      <c r="C568" s="6">
        <v>47</v>
      </c>
      <c r="D568" s="2">
        <v>5531.53</v>
      </c>
      <c r="E568" s="2">
        <v>2583.8900000000003</v>
      </c>
      <c r="F568" s="2">
        <v>8875</v>
      </c>
      <c r="G568" s="2">
        <v>3919.27</v>
      </c>
      <c r="H568" s="2">
        <v>5892.69</v>
      </c>
      <c r="I568" s="2">
        <v>250</v>
      </c>
      <c r="J568" s="2">
        <v>5531.53</v>
      </c>
      <c r="K568" s="2">
        <v>2583.8900000000003</v>
      </c>
      <c r="L568" s="2">
        <v>8875</v>
      </c>
      <c r="M568" s="2">
        <v>3919.27</v>
      </c>
      <c r="N568" s="2">
        <v>5892.69</v>
      </c>
      <c r="O568" s="2">
        <v>250</v>
      </c>
      <c r="P568" s="8">
        <v>4.3928700000000001E-2</v>
      </c>
      <c r="Q568" s="8">
        <v>1.14201</v>
      </c>
      <c r="R568" s="8">
        <v>4.5528300000000001E-2</v>
      </c>
      <c r="S568" s="8">
        <f>Tabelle1[[#This Row],[corr_x]]/1000</f>
        <v>5.5315300000000001</v>
      </c>
      <c r="T568" s="8">
        <f>Tabelle1[[#This Row],[corr_y]]/1000</f>
        <v>2.5838900000000002</v>
      </c>
      <c r="U568" s="8">
        <f>Tabelle1[[#This Row],[corr_z]]/1000</f>
        <v>8.875</v>
      </c>
      <c r="V568" s="8">
        <f>Tabelle1[[#This Row],[corr_soma_x]]/1000</f>
        <v>3.91927</v>
      </c>
      <c r="W568" s="8">
        <f>Tabelle1[[#This Row],[corr_soma_y]]/1000</f>
        <v>5.89269</v>
      </c>
      <c r="X568" s="8">
        <f>Tabelle1[[#This Row],[corr_soma_z]]/1000</f>
        <v>0.25</v>
      </c>
    </row>
    <row r="569" spans="1:24" x14ac:dyDescent="0.35">
      <c r="A569" s="7" t="s">
        <v>16</v>
      </c>
      <c r="B569" s="7" t="s">
        <v>18</v>
      </c>
      <c r="C569" s="6">
        <v>48</v>
      </c>
      <c r="D569" s="2">
        <v>4800.49</v>
      </c>
      <c r="E569" s="2">
        <v>2695.96</v>
      </c>
      <c r="F569" s="2">
        <v>8875</v>
      </c>
      <c r="G569" s="2">
        <v>3919.27</v>
      </c>
      <c r="H569" s="2">
        <v>5892.69</v>
      </c>
      <c r="I569" s="2">
        <v>250</v>
      </c>
      <c r="J569" s="2">
        <v>4800.49</v>
      </c>
      <c r="K569" s="2">
        <v>2695.96</v>
      </c>
      <c r="L569" s="2">
        <v>8875</v>
      </c>
      <c r="M569" s="2">
        <v>3919.27</v>
      </c>
      <c r="N569" s="2">
        <v>5892.69</v>
      </c>
      <c r="O569" s="2">
        <v>250</v>
      </c>
      <c r="P569" s="8">
        <v>2.8405699999999999E-2</v>
      </c>
      <c r="Q569" s="8">
        <v>0.60654799999999998</v>
      </c>
      <c r="R569" s="8">
        <v>2.4977699999999999E-2</v>
      </c>
      <c r="S569" s="8">
        <f>Tabelle1[[#This Row],[corr_x]]/1000</f>
        <v>4.8004899999999999</v>
      </c>
      <c r="T569" s="8">
        <f>Tabelle1[[#This Row],[corr_y]]/1000</f>
        <v>2.6959599999999999</v>
      </c>
      <c r="U569" s="8">
        <f>Tabelle1[[#This Row],[corr_z]]/1000</f>
        <v>8.875</v>
      </c>
      <c r="V569" s="8">
        <f>Tabelle1[[#This Row],[corr_soma_x]]/1000</f>
        <v>3.91927</v>
      </c>
      <c r="W569" s="8">
        <f>Tabelle1[[#This Row],[corr_soma_y]]/1000</f>
        <v>5.89269</v>
      </c>
      <c r="X569" s="8">
        <f>Tabelle1[[#This Row],[corr_soma_z]]/1000</f>
        <v>0.25</v>
      </c>
    </row>
    <row r="570" spans="1:24" x14ac:dyDescent="0.35">
      <c r="A570" s="7" t="s">
        <v>16</v>
      </c>
      <c r="B570" s="7" t="s">
        <v>18</v>
      </c>
      <c r="C570" s="6">
        <v>49</v>
      </c>
      <c r="D570" s="2">
        <v>5125.5600000000004</v>
      </c>
      <c r="E570" s="2">
        <v>3121.4</v>
      </c>
      <c r="F570" s="2">
        <v>8950</v>
      </c>
      <c r="G570" s="2">
        <v>3919.27</v>
      </c>
      <c r="H570" s="2">
        <v>5892.69</v>
      </c>
      <c r="I570" s="2">
        <v>250</v>
      </c>
      <c r="J570" s="2">
        <v>5125.5600000000004</v>
      </c>
      <c r="K570" s="2">
        <v>3121.4</v>
      </c>
      <c r="L570" s="2">
        <v>8950</v>
      </c>
      <c r="M570" s="2">
        <v>3919.27</v>
      </c>
      <c r="N570" s="2">
        <v>5892.69</v>
      </c>
      <c r="O570" s="2">
        <v>250</v>
      </c>
      <c r="P570" s="8">
        <v>4.1329699999999997E-2</v>
      </c>
      <c r="Q570" s="8">
        <v>2.6758999999999999</v>
      </c>
      <c r="R570" s="8">
        <v>0.16791500000000001</v>
      </c>
      <c r="S570" s="8">
        <f>Tabelle1[[#This Row],[corr_x]]/1000</f>
        <v>5.1255600000000001</v>
      </c>
      <c r="T570" s="8">
        <f>Tabelle1[[#This Row],[corr_y]]/1000</f>
        <v>3.1214</v>
      </c>
      <c r="U570" s="8">
        <f>Tabelle1[[#This Row],[corr_z]]/1000</f>
        <v>8.9499999999999993</v>
      </c>
      <c r="V570" s="8">
        <f>Tabelle1[[#This Row],[corr_soma_x]]/1000</f>
        <v>3.91927</v>
      </c>
      <c r="W570" s="8">
        <f>Tabelle1[[#This Row],[corr_soma_y]]/1000</f>
        <v>5.89269</v>
      </c>
      <c r="X570" s="8">
        <f>Tabelle1[[#This Row],[corr_soma_z]]/1000</f>
        <v>0.25</v>
      </c>
    </row>
    <row r="571" spans="1:24" x14ac:dyDescent="0.35">
      <c r="A571" s="7" t="s">
        <v>16</v>
      </c>
      <c r="B571" s="7" t="s">
        <v>19</v>
      </c>
      <c r="C571" s="6">
        <v>7</v>
      </c>
      <c r="D571" s="2">
        <v>5069.2349999999997</v>
      </c>
      <c r="E571" s="2">
        <v>2608.67</v>
      </c>
      <c r="F571" s="2">
        <v>9225</v>
      </c>
      <c r="G571" s="2">
        <v>3919.27</v>
      </c>
      <c r="H571" s="2">
        <v>5892.69</v>
      </c>
      <c r="I571" s="2">
        <v>250</v>
      </c>
      <c r="J571" s="2">
        <v>5069.2349999999997</v>
      </c>
      <c r="K571" s="2">
        <v>2608.67</v>
      </c>
      <c r="L571" s="2">
        <v>9225</v>
      </c>
      <c r="M571" s="2">
        <v>3919.27</v>
      </c>
      <c r="N571" s="2">
        <v>5892.69</v>
      </c>
      <c r="O571" s="2">
        <v>250</v>
      </c>
      <c r="P571" s="8">
        <v>6.6473900000000002E-2</v>
      </c>
      <c r="Q571" s="8">
        <v>5.2026700000000003</v>
      </c>
      <c r="R571" s="8">
        <v>0.48711300000000002</v>
      </c>
      <c r="S571" s="8">
        <f>Tabelle1[[#This Row],[corr_x]]/1000</f>
        <v>5.0692349999999999</v>
      </c>
      <c r="T571" s="8">
        <f>Tabelle1[[#This Row],[corr_y]]/1000</f>
        <v>2.60867</v>
      </c>
      <c r="U571" s="8">
        <f>Tabelle1[[#This Row],[corr_z]]/1000</f>
        <v>9.2249999999999996</v>
      </c>
      <c r="V571" s="8">
        <f>Tabelle1[[#This Row],[corr_soma_x]]/1000</f>
        <v>3.91927</v>
      </c>
      <c r="W571" s="8">
        <f>Tabelle1[[#This Row],[corr_soma_y]]/1000</f>
        <v>5.89269</v>
      </c>
      <c r="X571" s="8">
        <f>Tabelle1[[#This Row],[corr_soma_z]]/1000</f>
        <v>0.25</v>
      </c>
    </row>
    <row r="572" spans="1:24" x14ac:dyDescent="0.35">
      <c r="A572" s="7" t="s">
        <v>16</v>
      </c>
      <c r="B572" s="7" t="s">
        <v>18</v>
      </c>
      <c r="C572" s="6">
        <v>50</v>
      </c>
      <c r="D572" s="2">
        <v>5521.4549999999999</v>
      </c>
      <c r="E572" s="2">
        <v>2568.915</v>
      </c>
      <c r="F572" s="2">
        <v>9375</v>
      </c>
      <c r="G572" s="2">
        <v>3919.27</v>
      </c>
      <c r="H572" s="2">
        <v>5892.69</v>
      </c>
      <c r="I572" s="2">
        <v>250</v>
      </c>
      <c r="J572" s="2">
        <v>5521.4549999999999</v>
      </c>
      <c r="K572" s="2">
        <v>2568.915</v>
      </c>
      <c r="L572" s="2">
        <v>9375</v>
      </c>
      <c r="M572" s="2">
        <v>3919.27</v>
      </c>
      <c r="N572" s="2">
        <v>5892.69</v>
      </c>
      <c r="O572" s="2">
        <v>250</v>
      </c>
      <c r="P572" s="8">
        <v>3.2703900000000001E-2</v>
      </c>
      <c r="Q572" s="8">
        <v>0.35947099999999998</v>
      </c>
      <c r="R572" s="8">
        <v>1.3000299999999999E-2</v>
      </c>
      <c r="S572" s="8">
        <f>Tabelle1[[#This Row],[corr_x]]/1000</f>
        <v>5.5214549999999996</v>
      </c>
      <c r="T572" s="8">
        <f>Tabelle1[[#This Row],[corr_y]]/1000</f>
        <v>2.5689150000000001</v>
      </c>
      <c r="U572" s="8">
        <f>Tabelle1[[#This Row],[corr_z]]/1000</f>
        <v>9.375</v>
      </c>
      <c r="V572" s="8">
        <f>Tabelle1[[#This Row],[corr_soma_x]]/1000</f>
        <v>3.91927</v>
      </c>
      <c r="W572" s="8">
        <f>Tabelle1[[#This Row],[corr_soma_y]]/1000</f>
        <v>5.89269</v>
      </c>
      <c r="X572" s="8">
        <f>Tabelle1[[#This Row],[corr_soma_z]]/1000</f>
        <v>0.25</v>
      </c>
    </row>
    <row r="573" spans="1:24" x14ac:dyDescent="0.35">
      <c r="A573" s="7" t="s">
        <v>16</v>
      </c>
      <c r="B573" s="7" t="s">
        <v>18</v>
      </c>
      <c r="C573" s="6">
        <v>51</v>
      </c>
      <c r="D573" s="2">
        <v>5464.71</v>
      </c>
      <c r="E573" s="2">
        <v>2514.73</v>
      </c>
      <c r="F573" s="2">
        <v>10000</v>
      </c>
      <c r="G573" s="2">
        <v>3919.27</v>
      </c>
      <c r="H573" s="2">
        <v>5892.69</v>
      </c>
      <c r="I573" s="2">
        <v>250</v>
      </c>
      <c r="J573" s="2">
        <v>5464.71</v>
      </c>
      <c r="K573" s="2">
        <v>2514.73</v>
      </c>
      <c r="L573" s="2">
        <v>10000</v>
      </c>
      <c r="M573" s="2">
        <v>3919.27</v>
      </c>
      <c r="N573" s="2">
        <v>5892.69</v>
      </c>
      <c r="O573" s="2">
        <v>250</v>
      </c>
      <c r="P573" s="8">
        <v>6.58725E-2</v>
      </c>
      <c r="Q573" s="8">
        <v>1.2939499999999999</v>
      </c>
      <c r="R573" s="8">
        <v>7.96042E-2</v>
      </c>
      <c r="S573" s="8">
        <f>Tabelle1[[#This Row],[corr_x]]/1000</f>
        <v>5.4647100000000002</v>
      </c>
      <c r="T573" s="8">
        <f>Tabelle1[[#This Row],[corr_y]]/1000</f>
        <v>2.5147300000000001</v>
      </c>
      <c r="U573" s="8">
        <f>Tabelle1[[#This Row],[corr_z]]/1000</f>
        <v>10</v>
      </c>
      <c r="V573" s="8">
        <f>Tabelle1[[#This Row],[corr_soma_x]]/1000</f>
        <v>3.91927</v>
      </c>
      <c r="W573" s="8">
        <f>Tabelle1[[#This Row],[corr_soma_y]]/1000</f>
        <v>5.89269</v>
      </c>
      <c r="X573" s="8">
        <f>Tabelle1[[#This Row],[corr_soma_z]]/1000</f>
        <v>0.25</v>
      </c>
    </row>
    <row r="574" spans="1:24" x14ac:dyDescent="0.35">
      <c r="A574" s="7" t="s">
        <v>16</v>
      </c>
      <c r="B574" s="7" t="s">
        <v>18</v>
      </c>
      <c r="C574" s="6">
        <v>52</v>
      </c>
      <c r="D574" s="2">
        <v>5093.91</v>
      </c>
      <c r="E574" s="2">
        <v>2509.0300000000002</v>
      </c>
      <c r="F574" s="2">
        <v>9900</v>
      </c>
      <c r="G574" s="2">
        <v>3919.27</v>
      </c>
      <c r="H574" s="2">
        <v>5892.69</v>
      </c>
      <c r="I574" s="2">
        <v>250</v>
      </c>
      <c r="J574" s="2">
        <v>5093.91</v>
      </c>
      <c r="K574" s="2">
        <v>2509.0300000000002</v>
      </c>
      <c r="L574" s="2">
        <v>9900</v>
      </c>
      <c r="M574" s="2">
        <v>3919.27</v>
      </c>
      <c r="N574" s="2">
        <v>5892.69</v>
      </c>
      <c r="O574" s="2">
        <v>250</v>
      </c>
      <c r="P574" s="8">
        <v>2.13571E-2</v>
      </c>
      <c r="Q574" s="8">
        <v>1.3954200000000001</v>
      </c>
      <c r="R574" s="8">
        <v>0.13303699999999999</v>
      </c>
      <c r="S574" s="8">
        <f>Tabelle1[[#This Row],[corr_x]]/1000</f>
        <v>5.0939100000000002</v>
      </c>
      <c r="T574" s="8">
        <f>Tabelle1[[#This Row],[corr_y]]/1000</f>
        <v>2.5090300000000001</v>
      </c>
      <c r="U574" s="8">
        <f>Tabelle1[[#This Row],[corr_z]]/1000</f>
        <v>9.9</v>
      </c>
      <c r="V574" s="8">
        <f>Tabelle1[[#This Row],[corr_soma_x]]/1000</f>
        <v>3.91927</v>
      </c>
      <c r="W574" s="8">
        <f>Tabelle1[[#This Row],[corr_soma_y]]/1000</f>
        <v>5.89269</v>
      </c>
      <c r="X574" s="8">
        <f>Tabelle1[[#This Row],[corr_soma_z]]/1000</f>
        <v>0.25</v>
      </c>
    </row>
    <row r="575" spans="1:24" x14ac:dyDescent="0.35">
      <c r="A575" s="7" t="s">
        <v>16</v>
      </c>
      <c r="B575" s="7" t="s">
        <v>18</v>
      </c>
      <c r="C575" s="6">
        <v>53</v>
      </c>
      <c r="D575" s="2">
        <v>5541.4250000000002</v>
      </c>
      <c r="E575" s="2">
        <v>2900.7050000000004</v>
      </c>
      <c r="F575" s="2">
        <v>9875</v>
      </c>
      <c r="G575" s="2">
        <v>3919.27</v>
      </c>
      <c r="H575" s="2">
        <v>5892.69</v>
      </c>
      <c r="I575" s="2">
        <v>250</v>
      </c>
      <c r="J575" s="2">
        <v>5541.4250000000002</v>
      </c>
      <c r="K575" s="2">
        <v>2900.7050000000004</v>
      </c>
      <c r="L575" s="2">
        <v>9875</v>
      </c>
      <c r="M575" s="2">
        <v>3919.27</v>
      </c>
      <c r="N575" s="2">
        <v>5892.69</v>
      </c>
      <c r="O575" s="2">
        <v>250</v>
      </c>
      <c r="P575" s="8">
        <v>3.6136500000000002E-2</v>
      </c>
      <c r="Q575" s="8">
        <v>1.4738100000000001</v>
      </c>
      <c r="R575" s="8">
        <v>0.17088800000000001</v>
      </c>
      <c r="S575" s="8">
        <f>Tabelle1[[#This Row],[corr_x]]/1000</f>
        <v>5.5414250000000003</v>
      </c>
      <c r="T575" s="8">
        <f>Tabelle1[[#This Row],[corr_y]]/1000</f>
        <v>2.9007050000000003</v>
      </c>
      <c r="U575" s="8">
        <f>Tabelle1[[#This Row],[corr_z]]/1000</f>
        <v>9.875</v>
      </c>
      <c r="V575" s="8">
        <f>Tabelle1[[#This Row],[corr_soma_x]]/1000</f>
        <v>3.91927</v>
      </c>
      <c r="W575" s="8">
        <f>Tabelle1[[#This Row],[corr_soma_y]]/1000</f>
        <v>5.89269</v>
      </c>
      <c r="X575" s="8">
        <f>Tabelle1[[#This Row],[corr_soma_z]]/1000</f>
        <v>0.25</v>
      </c>
    </row>
    <row r="576" spans="1:24" x14ac:dyDescent="0.35">
      <c r="A576" s="7" t="s">
        <v>16</v>
      </c>
      <c r="B576" s="7" t="s">
        <v>18</v>
      </c>
      <c r="C576" s="6">
        <v>54</v>
      </c>
      <c r="D576" s="2">
        <v>5126.92</v>
      </c>
      <c r="E576" s="2">
        <v>2809.66</v>
      </c>
      <c r="F576" s="2">
        <v>10350</v>
      </c>
      <c r="G576" s="2">
        <v>3919.27</v>
      </c>
      <c r="H576" s="2">
        <v>5892.69</v>
      </c>
      <c r="I576" s="2">
        <v>250</v>
      </c>
      <c r="J576" s="2">
        <v>5126.92</v>
      </c>
      <c r="K576" s="2">
        <v>2809.66</v>
      </c>
      <c r="L576" s="2">
        <v>10350</v>
      </c>
      <c r="M576" s="2">
        <v>3919.27</v>
      </c>
      <c r="N576" s="2">
        <v>5892.69</v>
      </c>
      <c r="O576" s="2">
        <v>250</v>
      </c>
      <c r="P576" s="8">
        <v>6.1013199999999997E-2</v>
      </c>
      <c r="Q576" s="8">
        <v>1.06047</v>
      </c>
      <c r="R576" s="8">
        <v>7.2833200000000001E-2</v>
      </c>
      <c r="S576" s="8">
        <f>Tabelle1[[#This Row],[corr_x]]/1000</f>
        <v>5.1269200000000001</v>
      </c>
      <c r="T576" s="8">
        <f>Tabelle1[[#This Row],[corr_y]]/1000</f>
        <v>2.80966</v>
      </c>
      <c r="U576" s="8">
        <f>Tabelle1[[#This Row],[corr_z]]/1000</f>
        <v>10.35</v>
      </c>
      <c r="V576" s="8">
        <f>Tabelle1[[#This Row],[corr_soma_x]]/1000</f>
        <v>3.91927</v>
      </c>
      <c r="W576" s="8">
        <f>Tabelle1[[#This Row],[corr_soma_y]]/1000</f>
        <v>5.89269</v>
      </c>
      <c r="X576" s="8">
        <f>Tabelle1[[#This Row],[corr_soma_z]]/1000</f>
        <v>0.25</v>
      </c>
    </row>
    <row r="577" spans="1:24" x14ac:dyDescent="0.35">
      <c r="A577" s="7" t="s">
        <v>16</v>
      </c>
      <c r="B577" s="7" t="s">
        <v>18</v>
      </c>
      <c r="C577" s="6">
        <v>55</v>
      </c>
      <c r="D577" s="2">
        <v>5281.45</v>
      </c>
      <c r="E577" s="2">
        <v>2558.5899999999997</v>
      </c>
      <c r="F577" s="2">
        <v>10525</v>
      </c>
      <c r="G577" s="2">
        <v>3919.27</v>
      </c>
      <c r="H577" s="2">
        <v>5892.69</v>
      </c>
      <c r="I577" s="2">
        <v>250</v>
      </c>
      <c r="J577" s="2">
        <v>5281.45</v>
      </c>
      <c r="K577" s="2">
        <v>2558.5899999999997</v>
      </c>
      <c r="L577" s="2">
        <v>10525</v>
      </c>
      <c r="M577" s="2">
        <v>3919.27</v>
      </c>
      <c r="N577" s="2">
        <v>5892.69</v>
      </c>
      <c r="O577" s="2">
        <v>250</v>
      </c>
      <c r="P577" s="8">
        <v>4.7082899999999997E-2</v>
      </c>
      <c r="Q577" s="8">
        <v>2.4874800000000001</v>
      </c>
      <c r="R577" s="8">
        <v>0.22536</v>
      </c>
      <c r="S577" s="8">
        <f>Tabelle1[[#This Row],[corr_x]]/1000</f>
        <v>5.2814499999999995</v>
      </c>
      <c r="T577" s="8">
        <f>Tabelle1[[#This Row],[corr_y]]/1000</f>
        <v>2.5585899999999997</v>
      </c>
      <c r="U577" s="8">
        <f>Tabelle1[[#This Row],[corr_z]]/1000</f>
        <v>10.525</v>
      </c>
      <c r="V577" s="8">
        <f>Tabelle1[[#This Row],[corr_soma_x]]/1000</f>
        <v>3.91927</v>
      </c>
      <c r="W577" s="8">
        <f>Tabelle1[[#This Row],[corr_soma_y]]/1000</f>
        <v>5.89269</v>
      </c>
      <c r="X577" s="8">
        <f>Tabelle1[[#This Row],[corr_soma_z]]/1000</f>
        <v>0.25</v>
      </c>
    </row>
    <row r="578" spans="1:24" x14ac:dyDescent="0.35">
      <c r="A578" s="7" t="s">
        <v>16</v>
      </c>
      <c r="B578" s="7" t="s">
        <v>18</v>
      </c>
      <c r="C578" s="6">
        <v>56</v>
      </c>
      <c r="D578" s="2">
        <v>5561.2300000000005</v>
      </c>
      <c r="E578" s="2">
        <v>2730.7150000000001</v>
      </c>
      <c r="F578" s="2">
        <v>10775</v>
      </c>
      <c r="G578" s="2">
        <v>3919.27</v>
      </c>
      <c r="H578" s="2">
        <v>5892.69</v>
      </c>
      <c r="I578" s="2">
        <v>250</v>
      </c>
      <c r="J578" s="2">
        <v>5561.2300000000005</v>
      </c>
      <c r="K578" s="2">
        <v>2730.7150000000001</v>
      </c>
      <c r="L578" s="2">
        <v>10775</v>
      </c>
      <c r="M578" s="2">
        <v>3919.27</v>
      </c>
      <c r="N578" s="2">
        <v>5892.69</v>
      </c>
      <c r="O578" s="2">
        <v>250</v>
      </c>
      <c r="P578" s="8">
        <v>3.6706500000000003E-2</v>
      </c>
      <c r="Q578" s="8">
        <v>1.0591900000000001</v>
      </c>
      <c r="R578" s="8">
        <v>8.1313999999999997E-2</v>
      </c>
      <c r="S578" s="8">
        <f>Tabelle1[[#This Row],[corr_x]]/1000</f>
        <v>5.5612300000000001</v>
      </c>
      <c r="T578" s="8">
        <f>Tabelle1[[#This Row],[corr_y]]/1000</f>
        <v>2.730715</v>
      </c>
      <c r="U578" s="8">
        <f>Tabelle1[[#This Row],[corr_z]]/1000</f>
        <v>10.775</v>
      </c>
      <c r="V578" s="8">
        <f>Tabelle1[[#This Row],[corr_soma_x]]/1000</f>
        <v>3.91927</v>
      </c>
      <c r="W578" s="8">
        <f>Tabelle1[[#This Row],[corr_soma_y]]/1000</f>
        <v>5.89269</v>
      </c>
      <c r="X578" s="8">
        <f>Tabelle1[[#This Row],[corr_soma_z]]/1000</f>
        <v>0.25</v>
      </c>
    </row>
    <row r="579" spans="1:24" x14ac:dyDescent="0.35">
      <c r="A579" s="7" t="s">
        <v>16</v>
      </c>
      <c r="B579" s="7" t="s">
        <v>18</v>
      </c>
      <c r="C579" s="6">
        <v>57</v>
      </c>
      <c r="D579" s="2">
        <v>5211.8</v>
      </c>
      <c r="E579" s="2">
        <v>2690.56</v>
      </c>
      <c r="F579" s="2">
        <v>11100</v>
      </c>
      <c r="G579" s="2">
        <v>3919.27</v>
      </c>
      <c r="H579" s="2">
        <v>5892.69</v>
      </c>
      <c r="I579" s="2">
        <v>250</v>
      </c>
      <c r="J579" s="2">
        <v>5211.8</v>
      </c>
      <c r="K579" s="2">
        <v>2690.56</v>
      </c>
      <c r="L579" s="2">
        <v>11100</v>
      </c>
      <c r="M579" s="2">
        <v>3919.27</v>
      </c>
      <c r="N579" s="2">
        <v>5892.69</v>
      </c>
      <c r="O579" s="2">
        <v>250</v>
      </c>
      <c r="P579" s="8">
        <v>6.88357E-2</v>
      </c>
      <c r="Q579" s="8">
        <v>2.7190099999999999</v>
      </c>
      <c r="R579" s="8">
        <v>0.222331</v>
      </c>
      <c r="S579" s="8">
        <f>Tabelle1[[#This Row],[corr_x]]/1000</f>
        <v>5.2118000000000002</v>
      </c>
      <c r="T579" s="8">
        <f>Tabelle1[[#This Row],[corr_y]]/1000</f>
        <v>2.6905600000000001</v>
      </c>
      <c r="U579" s="8">
        <f>Tabelle1[[#This Row],[corr_z]]/1000</f>
        <v>11.1</v>
      </c>
      <c r="V579" s="8">
        <f>Tabelle1[[#This Row],[corr_soma_x]]/1000</f>
        <v>3.91927</v>
      </c>
      <c r="W579" s="8">
        <f>Tabelle1[[#This Row],[corr_soma_y]]/1000</f>
        <v>5.89269</v>
      </c>
      <c r="X579" s="8">
        <f>Tabelle1[[#This Row],[corr_soma_z]]/1000</f>
        <v>0.25</v>
      </c>
    </row>
    <row r="580" spans="1:24" x14ac:dyDescent="0.35">
      <c r="A580" s="7" t="s">
        <v>16</v>
      </c>
      <c r="B580" s="7" t="s">
        <v>18</v>
      </c>
      <c r="C580" s="6">
        <v>58</v>
      </c>
      <c r="D580" s="2">
        <v>5407.62</v>
      </c>
      <c r="E580" s="2">
        <v>2929.79</v>
      </c>
      <c r="F580" s="2">
        <v>11750</v>
      </c>
      <c r="G580" s="2">
        <v>3919.27</v>
      </c>
      <c r="H580" s="2">
        <v>5892.69</v>
      </c>
      <c r="I580" s="2">
        <v>250</v>
      </c>
      <c r="J580" s="2">
        <v>5407.62</v>
      </c>
      <c r="K580" s="2">
        <v>2929.79</v>
      </c>
      <c r="L580" s="2">
        <v>11750</v>
      </c>
      <c r="M580" s="2">
        <v>3919.27</v>
      </c>
      <c r="N580" s="2">
        <v>5892.69</v>
      </c>
      <c r="O580" s="2">
        <v>250</v>
      </c>
      <c r="P580" s="8">
        <v>5.3800500000000001E-2</v>
      </c>
      <c r="Q580" s="8">
        <v>1.06579</v>
      </c>
      <c r="R580" s="8">
        <v>5.1591600000000001E-2</v>
      </c>
      <c r="S580" s="8">
        <f>Tabelle1[[#This Row],[corr_x]]/1000</f>
        <v>5.4076199999999996</v>
      </c>
      <c r="T580" s="8">
        <f>Tabelle1[[#This Row],[corr_y]]/1000</f>
        <v>2.9297900000000001</v>
      </c>
      <c r="U580" s="8">
        <f>Tabelle1[[#This Row],[corr_z]]/1000</f>
        <v>11.75</v>
      </c>
      <c r="V580" s="8">
        <f>Tabelle1[[#This Row],[corr_soma_x]]/1000</f>
        <v>3.91927</v>
      </c>
      <c r="W580" s="8">
        <f>Tabelle1[[#This Row],[corr_soma_y]]/1000</f>
        <v>5.89269</v>
      </c>
      <c r="X580" s="8">
        <f>Tabelle1[[#This Row],[corr_soma_z]]/1000</f>
        <v>0.25</v>
      </c>
    </row>
    <row r="581" spans="1:24" x14ac:dyDescent="0.35">
      <c r="A581" s="7" t="s">
        <v>16</v>
      </c>
      <c r="B581" s="7" t="s">
        <v>18</v>
      </c>
      <c r="C581" s="6">
        <v>59</v>
      </c>
      <c r="D581" s="2">
        <v>5609.954999999999</v>
      </c>
      <c r="E581" s="2">
        <v>2957.53</v>
      </c>
      <c r="F581" s="2">
        <v>11625</v>
      </c>
      <c r="G581" s="2">
        <v>3919.27</v>
      </c>
      <c r="H581" s="2">
        <v>5892.69</v>
      </c>
      <c r="I581" s="2">
        <v>250</v>
      </c>
      <c r="J581" s="2">
        <v>5609.954999999999</v>
      </c>
      <c r="K581" s="2">
        <v>2957.53</v>
      </c>
      <c r="L581" s="2">
        <v>11625</v>
      </c>
      <c r="M581" s="2">
        <v>3919.27</v>
      </c>
      <c r="N581" s="2">
        <v>5892.69</v>
      </c>
      <c r="O581" s="2">
        <v>250</v>
      </c>
      <c r="P581" s="8">
        <v>4.55418E-2</v>
      </c>
      <c r="Q581" s="8">
        <v>2.0464600000000002</v>
      </c>
      <c r="R581" s="8">
        <v>0.12792000000000001</v>
      </c>
      <c r="S581" s="8">
        <f>Tabelle1[[#This Row],[corr_x]]/1000</f>
        <v>5.6099549999999994</v>
      </c>
      <c r="T581" s="8">
        <f>Tabelle1[[#This Row],[corr_y]]/1000</f>
        <v>2.9575300000000002</v>
      </c>
      <c r="U581" s="8">
        <f>Tabelle1[[#This Row],[corr_z]]/1000</f>
        <v>11.625</v>
      </c>
      <c r="V581" s="8">
        <f>Tabelle1[[#This Row],[corr_soma_x]]/1000</f>
        <v>3.91927</v>
      </c>
      <c r="W581" s="8">
        <f>Tabelle1[[#This Row],[corr_soma_y]]/1000</f>
        <v>5.89269</v>
      </c>
      <c r="X581" s="8">
        <f>Tabelle1[[#This Row],[corr_soma_z]]/1000</f>
        <v>0.25</v>
      </c>
    </row>
    <row r="582" spans="1:24" x14ac:dyDescent="0.35">
      <c r="A582" s="7" t="s">
        <v>16</v>
      </c>
      <c r="B582" s="7" t="s">
        <v>18</v>
      </c>
      <c r="C582" s="6">
        <v>60</v>
      </c>
      <c r="D582" s="2">
        <v>5492.67</v>
      </c>
      <c r="E582" s="2">
        <v>2568.9899999999998</v>
      </c>
      <c r="F582" s="2">
        <v>11750</v>
      </c>
      <c r="G582" s="2">
        <v>3919.27</v>
      </c>
      <c r="H582" s="2">
        <v>5892.69</v>
      </c>
      <c r="I582" s="2">
        <v>250</v>
      </c>
      <c r="J582" s="2">
        <v>5492.67</v>
      </c>
      <c r="K582" s="2">
        <v>2568.9899999999998</v>
      </c>
      <c r="L582" s="2">
        <v>11750</v>
      </c>
      <c r="M582" s="2">
        <v>3919.27</v>
      </c>
      <c r="N582" s="2">
        <v>5892.69</v>
      </c>
      <c r="O582" s="2">
        <v>250</v>
      </c>
      <c r="P582" s="8">
        <v>0.100832</v>
      </c>
      <c r="Q582" s="8">
        <v>1.74742</v>
      </c>
      <c r="R582" s="8">
        <v>0.105417</v>
      </c>
      <c r="S582" s="8">
        <f>Tabelle1[[#This Row],[corr_x]]/1000</f>
        <v>5.4926700000000004</v>
      </c>
      <c r="T582" s="8">
        <f>Tabelle1[[#This Row],[corr_y]]/1000</f>
        <v>2.5689899999999999</v>
      </c>
      <c r="U582" s="8">
        <f>Tabelle1[[#This Row],[corr_z]]/1000</f>
        <v>11.75</v>
      </c>
      <c r="V582" s="8">
        <f>Tabelle1[[#This Row],[corr_soma_x]]/1000</f>
        <v>3.91927</v>
      </c>
      <c r="W582" s="8">
        <f>Tabelle1[[#This Row],[corr_soma_y]]/1000</f>
        <v>5.89269</v>
      </c>
      <c r="X582" s="8">
        <f>Tabelle1[[#This Row],[corr_soma_z]]/1000</f>
        <v>0.25</v>
      </c>
    </row>
    <row r="583" spans="1:24" x14ac:dyDescent="0.35">
      <c r="A583" s="7" t="s">
        <v>16</v>
      </c>
      <c r="B583" s="7" t="s">
        <v>18</v>
      </c>
      <c r="C583" s="6">
        <v>61</v>
      </c>
      <c r="D583" s="2">
        <v>5915.85</v>
      </c>
      <c r="E583" s="2">
        <v>2836.3750000000005</v>
      </c>
      <c r="F583" s="2">
        <v>12325</v>
      </c>
      <c r="G583" s="2">
        <v>3919.27</v>
      </c>
      <c r="H583" s="2">
        <v>5892.69</v>
      </c>
      <c r="I583" s="2">
        <v>250</v>
      </c>
      <c r="J583" s="2">
        <v>5915.85</v>
      </c>
      <c r="K583" s="2">
        <v>2836.3750000000005</v>
      </c>
      <c r="L583" s="2">
        <v>12325</v>
      </c>
      <c r="M583" s="2">
        <v>3919.27</v>
      </c>
      <c r="N583" s="2">
        <v>5892.69</v>
      </c>
      <c r="O583" s="2">
        <v>250</v>
      </c>
      <c r="P583" s="8">
        <v>3.70715E-2</v>
      </c>
      <c r="Q583" s="8">
        <v>1.15852</v>
      </c>
      <c r="R583" s="8">
        <v>6.8442100000000006E-2</v>
      </c>
      <c r="S583" s="8">
        <f>Tabelle1[[#This Row],[corr_x]]/1000</f>
        <v>5.9158500000000007</v>
      </c>
      <c r="T583" s="8">
        <f>Tabelle1[[#This Row],[corr_y]]/1000</f>
        <v>2.8363750000000003</v>
      </c>
      <c r="U583" s="8">
        <f>Tabelle1[[#This Row],[corr_z]]/1000</f>
        <v>12.324999999999999</v>
      </c>
      <c r="V583" s="8">
        <f>Tabelle1[[#This Row],[corr_soma_x]]/1000</f>
        <v>3.91927</v>
      </c>
      <c r="W583" s="8">
        <f>Tabelle1[[#This Row],[corr_soma_y]]/1000</f>
        <v>5.89269</v>
      </c>
      <c r="X583" s="8">
        <f>Tabelle1[[#This Row],[corr_soma_z]]/1000</f>
        <v>0.25</v>
      </c>
    </row>
    <row r="584" spans="1:24" x14ac:dyDescent="0.35">
      <c r="A584" s="7" t="s">
        <v>16</v>
      </c>
      <c r="B584" s="7" t="s">
        <v>19</v>
      </c>
      <c r="C584" s="6">
        <v>8</v>
      </c>
      <c r="D584" s="2">
        <v>5367.69</v>
      </c>
      <c r="E584" s="2">
        <v>2946.31</v>
      </c>
      <c r="F584" s="2">
        <v>12500</v>
      </c>
      <c r="G584" s="2">
        <v>3919.27</v>
      </c>
      <c r="H584" s="2">
        <v>5892.69</v>
      </c>
      <c r="I584" s="2">
        <v>250</v>
      </c>
      <c r="J584" s="2">
        <v>5367.69</v>
      </c>
      <c r="K584" s="2">
        <v>2946.31</v>
      </c>
      <c r="L584" s="2">
        <v>12500</v>
      </c>
      <c r="M584" s="2">
        <v>3919.27</v>
      </c>
      <c r="N584" s="2">
        <v>5892.69</v>
      </c>
      <c r="O584" s="2">
        <v>250</v>
      </c>
      <c r="P584" s="8">
        <v>8.5315000000000002E-2</v>
      </c>
      <c r="Q584" s="8">
        <v>3.71001</v>
      </c>
      <c r="R584" s="8">
        <v>0.30493399999999998</v>
      </c>
      <c r="S584" s="8">
        <f>Tabelle1[[#This Row],[corr_x]]/1000</f>
        <v>5.3676899999999996</v>
      </c>
      <c r="T584" s="8">
        <f>Tabelle1[[#This Row],[corr_y]]/1000</f>
        <v>2.94631</v>
      </c>
      <c r="U584" s="8">
        <f>Tabelle1[[#This Row],[corr_z]]/1000</f>
        <v>12.5</v>
      </c>
      <c r="V584" s="8">
        <f>Tabelle1[[#This Row],[corr_soma_x]]/1000</f>
        <v>3.91927</v>
      </c>
      <c r="W584" s="8">
        <f>Tabelle1[[#This Row],[corr_soma_y]]/1000</f>
        <v>5.89269</v>
      </c>
      <c r="X584" s="8">
        <f>Tabelle1[[#This Row],[corr_soma_z]]/1000</f>
        <v>0.25</v>
      </c>
    </row>
    <row r="585" spans="1:24" x14ac:dyDescent="0.35">
      <c r="A585" s="7" t="s">
        <v>16</v>
      </c>
      <c r="B585" s="7" t="s">
        <v>19</v>
      </c>
      <c r="C585" s="6">
        <v>9</v>
      </c>
      <c r="D585" s="2">
        <v>5576.6900000000005</v>
      </c>
      <c r="E585" s="2">
        <v>2463.7700000000004</v>
      </c>
      <c r="F585" s="2">
        <v>12675</v>
      </c>
      <c r="G585" s="2">
        <v>3919.27</v>
      </c>
      <c r="H585" s="2">
        <v>5892.69</v>
      </c>
      <c r="I585" s="2">
        <v>250</v>
      </c>
      <c r="J585" s="2">
        <v>5576.6900000000005</v>
      </c>
      <c r="K585" s="2">
        <v>2463.7700000000004</v>
      </c>
      <c r="L585" s="2">
        <v>12675</v>
      </c>
      <c r="M585" s="2">
        <v>3919.27</v>
      </c>
      <c r="N585" s="2">
        <v>5892.69</v>
      </c>
      <c r="O585" s="2">
        <v>250</v>
      </c>
      <c r="P585" s="8">
        <v>8.7617100000000003E-2</v>
      </c>
      <c r="Q585" s="8">
        <v>0.67265900000000001</v>
      </c>
      <c r="R585" s="8">
        <v>3.5285799999999999E-2</v>
      </c>
      <c r="S585" s="8">
        <f>Tabelle1[[#This Row],[corr_x]]/1000</f>
        <v>5.5766900000000001</v>
      </c>
      <c r="T585" s="8">
        <f>Tabelle1[[#This Row],[corr_y]]/1000</f>
        <v>2.4637700000000002</v>
      </c>
      <c r="U585" s="8">
        <f>Tabelle1[[#This Row],[corr_z]]/1000</f>
        <v>12.675000000000001</v>
      </c>
      <c r="V585" s="8">
        <f>Tabelle1[[#This Row],[corr_soma_x]]/1000</f>
        <v>3.91927</v>
      </c>
      <c r="W585" s="8">
        <f>Tabelle1[[#This Row],[corr_soma_y]]/1000</f>
        <v>5.89269</v>
      </c>
      <c r="X585" s="8">
        <f>Tabelle1[[#This Row],[corr_soma_z]]/1000</f>
        <v>0.25</v>
      </c>
    </row>
    <row r="586" spans="1:24" x14ac:dyDescent="0.35">
      <c r="A586" s="7" t="s">
        <v>16</v>
      </c>
      <c r="B586" s="7" t="s">
        <v>18</v>
      </c>
      <c r="C586" s="6">
        <v>62</v>
      </c>
      <c r="D586" s="2">
        <v>5898.82</v>
      </c>
      <c r="E586" s="2">
        <v>2978.71</v>
      </c>
      <c r="F586" s="2">
        <v>12700</v>
      </c>
      <c r="G586" s="2">
        <v>3919.27</v>
      </c>
      <c r="H586" s="2">
        <v>5892.69</v>
      </c>
      <c r="I586" s="2">
        <v>250</v>
      </c>
      <c r="J586" s="2">
        <v>5898.82</v>
      </c>
      <c r="K586" s="2">
        <v>2978.71</v>
      </c>
      <c r="L586" s="2">
        <v>12700</v>
      </c>
      <c r="M586" s="2">
        <v>3919.27</v>
      </c>
      <c r="N586" s="2">
        <v>5892.69</v>
      </c>
      <c r="O586" s="2">
        <v>250</v>
      </c>
      <c r="P586" s="8">
        <v>3.3881099999999997E-2</v>
      </c>
      <c r="Q586" s="8">
        <v>3.1791</v>
      </c>
      <c r="R586" s="8">
        <v>0.13805999999999999</v>
      </c>
      <c r="S586" s="8">
        <f>Tabelle1[[#This Row],[corr_x]]/1000</f>
        <v>5.8988199999999997</v>
      </c>
      <c r="T586" s="8">
        <f>Tabelle1[[#This Row],[corr_y]]/1000</f>
        <v>2.97871</v>
      </c>
      <c r="U586" s="8">
        <f>Tabelle1[[#This Row],[corr_z]]/1000</f>
        <v>12.7</v>
      </c>
      <c r="V586" s="8">
        <f>Tabelle1[[#This Row],[corr_soma_x]]/1000</f>
        <v>3.91927</v>
      </c>
      <c r="W586" s="8">
        <f>Tabelle1[[#This Row],[corr_soma_y]]/1000</f>
        <v>5.89269</v>
      </c>
      <c r="X586" s="8">
        <f>Tabelle1[[#This Row],[corr_soma_z]]/1000</f>
        <v>0.25</v>
      </c>
    </row>
    <row r="587" spans="1:24" x14ac:dyDescent="0.35">
      <c r="A587" s="7" t="s">
        <v>16</v>
      </c>
      <c r="B587" s="7" t="s">
        <v>18</v>
      </c>
      <c r="C587" s="6">
        <v>63</v>
      </c>
      <c r="D587" s="2">
        <v>5650.1</v>
      </c>
      <c r="E587" s="2">
        <v>3060.6299999999997</v>
      </c>
      <c r="F587" s="2">
        <v>12875</v>
      </c>
      <c r="G587" s="2">
        <v>3919.27</v>
      </c>
      <c r="H587" s="2">
        <v>5892.69</v>
      </c>
      <c r="I587" s="2">
        <v>250</v>
      </c>
      <c r="J587" s="2">
        <v>5650.1</v>
      </c>
      <c r="K587" s="2">
        <v>3060.6299999999997</v>
      </c>
      <c r="L587" s="2">
        <v>12875</v>
      </c>
      <c r="M587" s="2">
        <v>3919.27</v>
      </c>
      <c r="N587" s="2">
        <v>5892.69</v>
      </c>
      <c r="O587" s="2">
        <v>250</v>
      </c>
      <c r="P587" s="8">
        <v>4.2710199999999997E-2</v>
      </c>
      <c r="Q587" s="8">
        <v>2.0860099999999999</v>
      </c>
      <c r="R587" s="8">
        <v>0.18410699999999999</v>
      </c>
      <c r="S587" s="8">
        <f>Tabelle1[[#This Row],[corr_x]]/1000</f>
        <v>5.6501000000000001</v>
      </c>
      <c r="T587" s="8">
        <f>Tabelle1[[#This Row],[corr_y]]/1000</f>
        <v>3.0606299999999997</v>
      </c>
      <c r="U587" s="8">
        <f>Tabelle1[[#This Row],[corr_z]]/1000</f>
        <v>12.875</v>
      </c>
      <c r="V587" s="8">
        <f>Tabelle1[[#This Row],[corr_soma_x]]/1000</f>
        <v>3.91927</v>
      </c>
      <c r="W587" s="8">
        <f>Tabelle1[[#This Row],[corr_soma_y]]/1000</f>
        <v>5.89269</v>
      </c>
      <c r="X587" s="8">
        <f>Tabelle1[[#This Row],[corr_soma_z]]/1000</f>
        <v>0.25</v>
      </c>
    </row>
    <row r="588" spans="1:24" x14ac:dyDescent="0.35">
      <c r="A588" s="7" t="s">
        <v>16</v>
      </c>
      <c r="B588" s="7" t="s">
        <v>18</v>
      </c>
      <c r="C588" s="6">
        <v>64</v>
      </c>
      <c r="D588" s="2">
        <v>6001.63</v>
      </c>
      <c r="E588" s="2">
        <v>2958.3050000000003</v>
      </c>
      <c r="F588" s="2">
        <v>13375</v>
      </c>
      <c r="G588" s="2">
        <v>3919.27</v>
      </c>
      <c r="H588" s="2">
        <v>5892.69</v>
      </c>
      <c r="I588" s="2">
        <v>250</v>
      </c>
      <c r="J588" s="2">
        <v>6001.63</v>
      </c>
      <c r="K588" s="2">
        <v>2958.3050000000003</v>
      </c>
      <c r="L588" s="2">
        <v>13375</v>
      </c>
      <c r="M588" s="2">
        <v>3919.27</v>
      </c>
      <c r="N588" s="2">
        <v>5892.69</v>
      </c>
      <c r="O588" s="2">
        <v>250</v>
      </c>
      <c r="P588" s="8">
        <v>9.1705599999999998E-2</v>
      </c>
      <c r="Q588" s="8">
        <v>1.57199</v>
      </c>
      <c r="R588" s="8">
        <v>6.98574E-2</v>
      </c>
      <c r="S588" s="8">
        <f>Tabelle1[[#This Row],[corr_x]]/1000</f>
        <v>6.0016300000000005</v>
      </c>
      <c r="T588" s="8">
        <f>Tabelle1[[#This Row],[corr_y]]/1000</f>
        <v>2.9583050000000002</v>
      </c>
      <c r="U588" s="8">
        <f>Tabelle1[[#This Row],[corr_z]]/1000</f>
        <v>13.375</v>
      </c>
      <c r="V588" s="8">
        <f>Tabelle1[[#This Row],[corr_soma_x]]/1000</f>
        <v>3.91927</v>
      </c>
      <c r="W588" s="8">
        <f>Tabelle1[[#This Row],[corr_soma_y]]/1000</f>
        <v>5.89269</v>
      </c>
      <c r="X588" s="8">
        <f>Tabelle1[[#This Row],[corr_soma_z]]/1000</f>
        <v>0.25</v>
      </c>
    </row>
    <row r="589" spans="1:24" x14ac:dyDescent="0.35">
      <c r="A589" s="7" t="s">
        <v>16</v>
      </c>
      <c r="B589" s="7" t="s">
        <v>18</v>
      </c>
      <c r="C589" s="6">
        <v>65</v>
      </c>
      <c r="D589" s="2">
        <v>5838.0099999999993</v>
      </c>
      <c r="E589" s="2">
        <v>2543.4499999999998</v>
      </c>
      <c r="F589" s="2">
        <v>13600</v>
      </c>
      <c r="G589" s="2">
        <v>3919.27</v>
      </c>
      <c r="H589" s="2">
        <v>5892.69</v>
      </c>
      <c r="I589" s="2">
        <v>250</v>
      </c>
      <c r="J589" s="2">
        <v>5838.0099999999993</v>
      </c>
      <c r="K589" s="2">
        <v>2543.4499999999998</v>
      </c>
      <c r="L589" s="2">
        <v>13600</v>
      </c>
      <c r="M589" s="2">
        <v>3919.27</v>
      </c>
      <c r="N589" s="2">
        <v>5892.69</v>
      </c>
      <c r="O589" s="2">
        <v>250</v>
      </c>
      <c r="P589" s="8">
        <v>4.0869700000000002E-2</v>
      </c>
      <c r="Q589" s="8">
        <v>1.88561</v>
      </c>
      <c r="R589" s="8">
        <v>0.13492499999999999</v>
      </c>
      <c r="S589" s="8">
        <f>Tabelle1[[#This Row],[corr_x]]/1000</f>
        <v>5.8380099999999997</v>
      </c>
      <c r="T589" s="8">
        <f>Tabelle1[[#This Row],[corr_y]]/1000</f>
        <v>2.54345</v>
      </c>
      <c r="U589" s="8">
        <f>Tabelle1[[#This Row],[corr_z]]/1000</f>
        <v>13.6</v>
      </c>
      <c r="V589" s="8">
        <f>Tabelle1[[#This Row],[corr_soma_x]]/1000</f>
        <v>3.91927</v>
      </c>
      <c r="W589" s="8">
        <f>Tabelle1[[#This Row],[corr_soma_y]]/1000</f>
        <v>5.89269</v>
      </c>
      <c r="X589" s="8">
        <f>Tabelle1[[#This Row],[corr_soma_z]]/1000</f>
        <v>0.25</v>
      </c>
    </row>
    <row r="590" spans="1:24" x14ac:dyDescent="0.35">
      <c r="A590" s="7" t="s">
        <v>16</v>
      </c>
      <c r="B590" s="7" t="s">
        <v>18</v>
      </c>
      <c r="C590" s="6">
        <v>66</v>
      </c>
      <c r="D590" s="2">
        <v>6152.12</v>
      </c>
      <c r="E590" s="2">
        <v>2716.7799999999997</v>
      </c>
      <c r="F590" s="2">
        <v>13450</v>
      </c>
      <c r="G590" s="2">
        <v>3919.27</v>
      </c>
      <c r="H590" s="2">
        <v>5892.69</v>
      </c>
      <c r="I590" s="2">
        <v>250</v>
      </c>
      <c r="J590" s="2">
        <v>6152.12</v>
      </c>
      <c r="K590" s="2">
        <v>2716.7799999999997</v>
      </c>
      <c r="L590" s="2">
        <v>13450</v>
      </c>
      <c r="M590" s="2">
        <v>3919.27</v>
      </c>
      <c r="N590" s="2">
        <v>5892.69</v>
      </c>
      <c r="O590" s="2">
        <v>250</v>
      </c>
      <c r="P590" s="8">
        <v>3.30272E-2</v>
      </c>
      <c r="Q590" s="8">
        <v>1.1969700000000001</v>
      </c>
      <c r="R590" s="8">
        <v>5.5793299999999997E-2</v>
      </c>
      <c r="S590" s="8">
        <f>Tabelle1[[#This Row],[corr_x]]/1000</f>
        <v>6.15212</v>
      </c>
      <c r="T590" s="8">
        <f>Tabelle1[[#This Row],[corr_y]]/1000</f>
        <v>2.7167799999999995</v>
      </c>
      <c r="U590" s="8">
        <f>Tabelle1[[#This Row],[corr_z]]/1000</f>
        <v>13.45</v>
      </c>
      <c r="V590" s="8">
        <f>Tabelle1[[#This Row],[corr_soma_x]]/1000</f>
        <v>3.91927</v>
      </c>
      <c r="W590" s="8">
        <f>Tabelle1[[#This Row],[corr_soma_y]]/1000</f>
        <v>5.89269</v>
      </c>
      <c r="X590" s="8">
        <f>Tabelle1[[#This Row],[corr_soma_z]]/1000</f>
        <v>0.25</v>
      </c>
    </row>
    <row r="591" spans="1:24" x14ac:dyDescent="0.35">
      <c r="A591" s="7" t="s">
        <v>16</v>
      </c>
      <c r="B591" s="7" t="s">
        <v>18</v>
      </c>
      <c r="C591" s="6">
        <v>67</v>
      </c>
      <c r="D591" s="2">
        <v>5462.6900000000005</v>
      </c>
      <c r="E591" s="2">
        <v>2727.9900000000002</v>
      </c>
      <c r="F591" s="2">
        <v>13300</v>
      </c>
      <c r="G591" s="2">
        <v>3919.27</v>
      </c>
      <c r="H591" s="2">
        <v>5892.69</v>
      </c>
      <c r="I591" s="2">
        <v>250</v>
      </c>
      <c r="J591" s="2">
        <v>5462.6900000000005</v>
      </c>
      <c r="K591" s="2">
        <v>2727.9900000000002</v>
      </c>
      <c r="L591" s="2">
        <v>13300</v>
      </c>
      <c r="M591" s="2">
        <v>3919.27</v>
      </c>
      <c r="N591" s="2">
        <v>5892.69</v>
      </c>
      <c r="O591" s="2">
        <v>250</v>
      </c>
      <c r="P591" s="8">
        <v>5.5381100000000003E-2</v>
      </c>
      <c r="Q591" s="8">
        <v>1.09365</v>
      </c>
      <c r="R591" s="8">
        <v>9.44913E-2</v>
      </c>
      <c r="S591" s="8">
        <f>Tabelle1[[#This Row],[corr_x]]/1000</f>
        <v>5.4626900000000003</v>
      </c>
      <c r="T591" s="8">
        <f>Tabelle1[[#This Row],[corr_y]]/1000</f>
        <v>2.7279900000000001</v>
      </c>
      <c r="U591" s="8">
        <f>Tabelle1[[#This Row],[corr_z]]/1000</f>
        <v>13.3</v>
      </c>
      <c r="V591" s="8">
        <f>Tabelle1[[#This Row],[corr_soma_x]]/1000</f>
        <v>3.91927</v>
      </c>
      <c r="W591" s="8">
        <f>Tabelle1[[#This Row],[corr_soma_y]]/1000</f>
        <v>5.89269</v>
      </c>
      <c r="X591" s="8">
        <f>Tabelle1[[#This Row],[corr_soma_z]]/1000</f>
        <v>0.25</v>
      </c>
    </row>
    <row r="592" spans="1:24" x14ac:dyDescent="0.35">
      <c r="A592" s="7" t="s">
        <v>16</v>
      </c>
      <c r="B592" s="7" t="s">
        <v>18</v>
      </c>
      <c r="C592" s="6">
        <v>68</v>
      </c>
      <c r="D592" s="2">
        <v>6009.9299999999994</v>
      </c>
      <c r="E592" s="2">
        <v>2549.4</v>
      </c>
      <c r="F592" s="2">
        <v>13350</v>
      </c>
      <c r="G592" s="2">
        <v>3919.27</v>
      </c>
      <c r="H592" s="2">
        <v>5892.69</v>
      </c>
      <c r="I592" s="2">
        <v>250</v>
      </c>
      <c r="J592" s="2">
        <v>6009.9299999999994</v>
      </c>
      <c r="K592" s="2">
        <v>2549.4</v>
      </c>
      <c r="L592" s="2">
        <v>13350</v>
      </c>
      <c r="M592" s="2">
        <v>3919.27</v>
      </c>
      <c r="N592" s="2">
        <v>5892.69</v>
      </c>
      <c r="O592" s="2">
        <v>250</v>
      </c>
      <c r="P592" s="8">
        <v>4.6967500000000002E-2</v>
      </c>
      <c r="Q592" s="8">
        <v>1.40056</v>
      </c>
      <c r="R592" s="8">
        <v>9.8720600000000006E-2</v>
      </c>
      <c r="S592" s="8">
        <f>Tabelle1[[#This Row],[corr_x]]/1000</f>
        <v>6.0099299999999998</v>
      </c>
      <c r="T592" s="8">
        <f>Tabelle1[[#This Row],[corr_y]]/1000</f>
        <v>2.5493999999999999</v>
      </c>
      <c r="U592" s="8">
        <f>Tabelle1[[#This Row],[corr_z]]/1000</f>
        <v>13.35</v>
      </c>
      <c r="V592" s="8">
        <f>Tabelle1[[#This Row],[corr_soma_x]]/1000</f>
        <v>3.91927</v>
      </c>
      <c r="W592" s="8">
        <f>Tabelle1[[#This Row],[corr_soma_y]]/1000</f>
        <v>5.89269</v>
      </c>
      <c r="X592" s="8">
        <f>Tabelle1[[#This Row],[corr_soma_z]]/1000</f>
        <v>0.25</v>
      </c>
    </row>
    <row r="593" spans="1:24" x14ac:dyDescent="0.35">
      <c r="A593" s="7" t="s">
        <v>16</v>
      </c>
      <c r="B593" s="7" t="s">
        <v>19</v>
      </c>
      <c r="C593" s="6">
        <v>10</v>
      </c>
      <c r="D593" s="2">
        <v>6315.5649999999996</v>
      </c>
      <c r="E593" s="2">
        <v>3052.8399999999997</v>
      </c>
      <c r="F593" s="2">
        <v>14525</v>
      </c>
      <c r="G593" s="2">
        <v>3919.27</v>
      </c>
      <c r="H593" s="2">
        <v>5892.69</v>
      </c>
      <c r="I593" s="2">
        <v>250</v>
      </c>
      <c r="J593" s="2">
        <v>6315.5649999999996</v>
      </c>
      <c r="K593" s="2">
        <v>3052.8399999999997</v>
      </c>
      <c r="L593" s="2">
        <v>14525</v>
      </c>
      <c r="M593" s="2">
        <v>3919.27</v>
      </c>
      <c r="N593" s="2">
        <v>5892.69</v>
      </c>
      <c r="O593" s="2">
        <v>250</v>
      </c>
      <c r="P593" s="8">
        <v>1.6231300000000001E-2</v>
      </c>
      <c r="Q593" s="8">
        <v>2.7528800000000002</v>
      </c>
      <c r="R593" s="8">
        <v>0.160525</v>
      </c>
      <c r="S593" s="8">
        <f>Tabelle1[[#This Row],[corr_x]]/1000</f>
        <v>6.3155649999999994</v>
      </c>
      <c r="T593" s="8">
        <f>Tabelle1[[#This Row],[corr_y]]/1000</f>
        <v>3.0528399999999998</v>
      </c>
      <c r="U593" s="8">
        <f>Tabelle1[[#This Row],[corr_z]]/1000</f>
        <v>14.525</v>
      </c>
      <c r="V593" s="8">
        <f>Tabelle1[[#This Row],[corr_soma_x]]/1000</f>
        <v>3.91927</v>
      </c>
      <c r="W593" s="8">
        <f>Tabelle1[[#This Row],[corr_soma_y]]/1000</f>
        <v>5.89269</v>
      </c>
      <c r="X593" s="8">
        <f>Tabelle1[[#This Row],[corr_soma_z]]/1000</f>
        <v>0.25</v>
      </c>
    </row>
    <row r="594" spans="1:24" x14ac:dyDescent="0.35">
      <c r="A594" s="7" t="s">
        <v>16</v>
      </c>
      <c r="B594" s="7" t="s">
        <v>18</v>
      </c>
      <c r="C594" s="6">
        <v>69</v>
      </c>
      <c r="D594" s="2">
        <v>5821.1650000000009</v>
      </c>
      <c r="E594" s="2">
        <v>2651.83</v>
      </c>
      <c r="F594" s="2">
        <v>14125</v>
      </c>
      <c r="G594" s="2">
        <v>3919.27</v>
      </c>
      <c r="H594" s="2">
        <v>5892.69</v>
      </c>
      <c r="I594" s="2">
        <v>250</v>
      </c>
      <c r="J594" s="2">
        <v>5821.1650000000009</v>
      </c>
      <c r="K594" s="2">
        <v>2651.83</v>
      </c>
      <c r="L594" s="2">
        <v>14125</v>
      </c>
      <c r="M594" s="2">
        <v>3919.27</v>
      </c>
      <c r="N594" s="2">
        <v>5892.69</v>
      </c>
      <c r="O594" s="2">
        <v>250</v>
      </c>
      <c r="P594" s="8">
        <v>6.4030400000000001E-2</v>
      </c>
      <c r="Q594" s="8">
        <v>1.71099</v>
      </c>
      <c r="R594" s="8">
        <v>0.113805</v>
      </c>
      <c r="S594" s="8">
        <f>Tabelle1[[#This Row],[corr_x]]/1000</f>
        <v>5.8211650000000006</v>
      </c>
      <c r="T594" s="8">
        <f>Tabelle1[[#This Row],[corr_y]]/1000</f>
        <v>2.6518299999999999</v>
      </c>
      <c r="U594" s="8">
        <f>Tabelle1[[#This Row],[corr_z]]/1000</f>
        <v>14.125</v>
      </c>
      <c r="V594" s="8">
        <f>Tabelle1[[#This Row],[corr_soma_x]]/1000</f>
        <v>3.91927</v>
      </c>
      <c r="W594" s="8">
        <f>Tabelle1[[#This Row],[corr_soma_y]]/1000</f>
        <v>5.89269</v>
      </c>
      <c r="X594" s="8">
        <f>Tabelle1[[#This Row],[corr_soma_z]]/1000</f>
        <v>0.25</v>
      </c>
    </row>
    <row r="595" spans="1:24" x14ac:dyDescent="0.35">
      <c r="A595" s="7" t="s">
        <v>16</v>
      </c>
      <c r="B595" s="7" t="s">
        <v>18</v>
      </c>
      <c r="C595" s="6">
        <v>70</v>
      </c>
      <c r="D595" s="2">
        <v>6420.3050000000003</v>
      </c>
      <c r="E595" s="2">
        <v>2872.02</v>
      </c>
      <c r="F595" s="2">
        <v>14725</v>
      </c>
      <c r="G595" s="2">
        <v>3919.27</v>
      </c>
      <c r="H595" s="2">
        <v>5892.69</v>
      </c>
      <c r="I595" s="2">
        <v>250</v>
      </c>
      <c r="J595" s="2">
        <v>6420.3050000000003</v>
      </c>
      <c r="K595" s="2">
        <v>2872.02</v>
      </c>
      <c r="L595" s="2">
        <v>14725</v>
      </c>
      <c r="M595" s="2">
        <v>3919.27</v>
      </c>
      <c r="N595" s="2">
        <v>5892.69</v>
      </c>
      <c r="O595" s="2">
        <v>250</v>
      </c>
      <c r="P595" s="8">
        <v>5.9981699999999999E-2</v>
      </c>
      <c r="Q595" s="8">
        <v>1.3005</v>
      </c>
      <c r="R595" s="8">
        <v>0.10868800000000001</v>
      </c>
      <c r="S595" s="8">
        <f>Tabelle1[[#This Row],[corr_x]]/1000</f>
        <v>6.4203049999999999</v>
      </c>
      <c r="T595" s="8">
        <f>Tabelle1[[#This Row],[corr_y]]/1000</f>
        <v>2.87202</v>
      </c>
      <c r="U595" s="8">
        <f>Tabelle1[[#This Row],[corr_z]]/1000</f>
        <v>14.725</v>
      </c>
      <c r="V595" s="8">
        <f>Tabelle1[[#This Row],[corr_soma_x]]/1000</f>
        <v>3.91927</v>
      </c>
      <c r="W595" s="8">
        <f>Tabelle1[[#This Row],[corr_soma_y]]/1000</f>
        <v>5.89269</v>
      </c>
      <c r="X595" s="8">
        <f>Tabelle1[[#This Row],[corr_soma_z]]/1000</f>
        <v>0.25</v>
      </c>
    </row>
    <row r="596" spans="1:24" x14ac:dyDescent="0.35">
      <c r="A596" s="7" t="s">
        <v>16</v>
      </c>
      <c r="B596" s="7" t="s">
        <v>18</v>
      </c>
      <c r="C596" s="6">
        <v>71</v>
      </c>
      <c r="D596" s="2">
        <v>6168.085</v>
      </c>
      <c r="E596" s="2">
        <v>2648.6749999999997</v>
      </c>
      <c r="F596" s="2">
        <v>14725</v>
      </c>
      <c r="G596" s="2">
        <v>3919.27</v>
      </c>
      <c r="H596" s="2">
        <v>5892.69</v>
      </c>
      <c r="I596" s="2">
        <v>250</v>
      </c>
      <c r="J596" s="2">
        <v>6168.085</v>
      </c>
      <c r="K596" s="2">
        <v>2648.6749999999997</v>
      </c>
      <c r="L596" s="2">
        <v>14725</v>
      </c>
      <c r="M596" s="2">
        <v>3919.27</v>
      </c>
      <c r="N596" s="2">
        <v>5892.69</v>
      </c>
      <c r="O596" s="2">
        <v>250</v>
      </c>
      <c r="P596" s="8">
        <v>3.05583E-2</v>
      </c>
      <c r="Q596" s="8">
        <v>1.4972399999999999</v>
      </c>
      <c r="R596" s="8">
        <v>0.106964</v>
      </c>
      <c r="S596" s="8">
        <f>Tabelle1[[#This Row],[corr_x]]/1000</f>
        <v>6.1680849999999996</v>
      </c>
      <c r="T596" s="8">
        <f>Tabelle1[[#This Row],[corr_y]]/1000</f>
        <v>2.6486749999999999</v>
      </c>
      <c r="U596" s="8">
        <f>Tabelle1[[#This Row],[corr_z]]/1000</f>
        <v>14.725</v>
      </c>
      <c r="V596" s="8">
        <f>Tabelle1[[#This Row],[corr_soma_x]]/1000</f>
        <v>3.91927</v>
      </c>
      <c r="W596" s="8">
        <f>Tabelle1[[#This Row],[corr_soma_y]]/1000</f>
        <v>5.89269</v>
      </c>
      <c r="X596" s="8">
        <f>Tabelle1[[#This Row],[corr_soma_z]]/1000</f>
        <v>0.25</v>
      </c>
    </row>
    <row r="597" spans="1:24" x14ac:dyDescent="0.35">
      <c r="A597" s="7" t="s">
        <v>16</v>
      </c>
      <c r="B597" s="7" t="s">
        <v>19</v>
      </c>
      <c r="C597" s="6">
        <v>11</v>
      </c>
      <c r="D597" s="2">
        <v>6021.19</v>
      </c>
      <c r="E597" s="2">
        <v>3165.31</v>
      </c>
      <c r="F597" s="2">
        <v>15550</v>
      </c>
      <c r="G597" s="2">
        <v>3919.27</v>
      </c>
      <c r="H597" s="2">
        <v>5892.69</v>
      </c>
      <c r="I597" s="2">
        <v>250</v>
      </c>
      <c r="J597" s="2">
        <v>6021.19</v>
      </c>
      <c r="K597" s="2">
        <v>3165.31</v>
      </c>
      <c r="L597" s="2">
        <v>15550</v>
      </c>
      <c r="M597" s="2">
        <v>3919.27</v>
      </c>
      <c r="N597" s="2">
        <v>5892.69</v>
      </c>
      <c r="O597" s="2">
        <v>250</v>
      </c>
      <c r="P597" s="8">
        <v>7.0366600000000001E-2</v>
      </c>
      <c r="Q597" s="8">
        <v>1.1881699999999999</v>
      </c>
      <c r="R597" s="8">
        <v>0.123184</v>
      </c>
      <c r="S597" s="8">
        <f>Tabelle1[[#This Row],[corr_x]]/1000</f>
        <v>6.0211899999999998</v>
      </c>
      <c r="T597" s="8">
        <f>Tabelle1[[#This Row],[corr_y]]/1000</f>
        <v>3.1653099999999998</v>
      </c>
      <c r="U597" s="8">
        <f>Tabelle1[[#This Row],[corr_z]]/1000</f>
        <v>15.55</v>
      </c>
      <c r="V597" s="8">
        <f>Tabelle1[[#This Row],[corr_soma_x]]/1000</f>
        <v>3.91927</v>
      </c>
      <c r="W597" s="8">
        <f>Tabelle1[[#This Row],[corr_soma_y]]/1000</f>
        <v>5.89269</v>
      </c>
      <c r="X597" s="8">
        <f>Tabelle1[[#This Row],[corr_soma_z]]/1000</f>
        <v>0.25</v>
      </c>
    </row>
    <row r="598" spans="1:24" x14ac:dyDescent="0.35">
      <c r="A598" s="7" t="s">
        <v>16</v>
      </c>
      <c r="B598" s="7" t="s">
        <v>18</v>
      </c>
      <c r="C598" s="6">
        <v>72</v>
      </c>
      <c r="D598" s="2">
        <v>6194.2000000000007</v>
      </c>
      <c r="E598" s="2">
        <v>2937.2</v>
      </c>
      <c r="F598" s="2">
        <v>16075.000000000004</v>
      </c>
      <c r="G598" s="2">
        <v>3919.27</v>
      </c>
      <c r="H598" s="2">
        <v>5892.69</v>
      </c>
      <c r="I598" s="2">
        <v>250</v>
      </c>
      <c r="J598" s="2">
        <v>6194.2000000000007</v>
      </c>
      <c r="K598" s="2">
        <v>2937.2</v>
      </c>
      <c r="L598" s="2">
        <v>16075.000000000004</v>
      </c>
      <c r="M598" s="2">
        <v>3919.27</v>
      </c>
      <c r="N598" s="2">
        <v>5892.69</v>
      </c>
      <c r="O598" s="2">
        <v>250</v>
      </c>
      <c r="P598" s="8">
        <v>8.7763599999999997E-2</v>
      </c>
      <c r="Q598" s="8">
        <v>1.97967</v>
      </c>
      <c r="R598" s="8">
        <v>0.161935</v>
      </c>
      <c r="S598" s="8">
        <f>Tabelle1[[#This Row],[corr_x]]/1000</f>
        <v>6.1942000000000004</v>
      </c>
      <c r="T598" s="8">
        <f>Tabelle1[[#This Row],[corr_y]]/1000</f>
        <v>2.9371999999999998</v>
      </c>
      <c r="U598" s="8">
        <f>Tabelle1[[#This Row],[corr_z]]/1000</f>
        <v>16.075000000000003</v>
      </c>
      <c r="V598" s="8">
        <f>Tabelle1[[#This Row],[corr_soma_x]]/1000</f>
        <v>3.91927</v>
      </c>
      <c r="W598" s="8">
        <f>Tabelle1[[#This Row],[corr_soma_y]]/1000</f>
        <v>5.89269</v>
      </c>
      <c r="X598" s="8">
        <f>Tabelle1[[#This Row],[corr_soma_z]]/1000</f>
        <v>0.25</v>
      </c>
    </row>
    <row r="599" spans="1:24" x14ac:dyDescent="0.35">
      <c r="A599" s="7" t="s">
        <v>16</v>
      </c>
      <c r="B599" s="7" t="s">
        <v>18</v>
      </c>
      <c r="C599" s="6">
        <v>73</v>
      </c>
      <c r="D599" s="2">
        <v>6529.6500000000005</v>
      </c>
      <c r="E599" s="2">
        <v>2692.5</v>
      </c>
      <c r="F599" s="2">
        <v>15425</v>
      </c>
      <c r="G599" s="2">
        <v>3919.27</v>
      </c>
      <c r="H599" s="2">
        <v>5892.69</v>
      </c>
      <c r="I599" s="2">
        <v>250</v>
      </c>
      <c r="J599" s="2">
        <v>6529.6500000000005</v>
      </c>
      <c r="K599" s="2">
        <v>2692.5</v>
      </c>
      <c r="L599" s="2">
        <v>15425</v>
      </c>
      <c r="M599" s="2">
        <v>3919.27</v>
      </c>
      <c r="N599" s="2">
        <v>5892.69</v>
      </c>
      <c r="O599" s="2">
        <v>250</v>
      </c>
      <c r="P599" s="8">
        <v>2.9175E-2</v>
      </c>
      <c r="Q599" s="8">
        <v>0.77541800000000005</v>
      </c>
      <c r="R599" s="8">
        <v>5.1280800000000001E-2</v>
      </c>
      <c r="S599" s="8">
        <f>Tabelle1[[#This Row],[corr_x]]/1000</f>
        <v>6.5296500000000002</v>
      </c>
      <c r="T599" s="8">
        <f>Tabelle1[[#This Row],[corr_y]]/1000</f>
        <v>2.6924999999999999</v>
      </c>
      <c r="U599" s="8">
        <f>Tabelle1[[#This Row],[corr_z]]/1000</f>
        <v>15.425000000000001</v>
      </c>
      <c r="V599" s="8">
        <f>Tabelle1[[#This Row],[corr_soma_x]]/1000</f>
        <v>3.91927</v>
      </c>
      <c r="W599" s="8">
        <f>Tabelle1[[#This Row],[corr_soma_y]]/1000</f>
        <v>5.89269</v>
      </c>
      <c r="X599" s="8">
        <f>Tabelle1[[#This Row],[corr_soma_z]]/1000</f>
        <v>0.25</v>
      </c>
    </row>
    <row r="600" spans="1:24" x14ac:dyDescent="0.35">
      <c r="A600" s="7" t="s">
        <v>16</v>
      </c>
      <c r="B600" s="7" t="s">
        <v>18</v>
      </c>
      <c r="C600" s="6">
        <v>74</v>
      </c>
      <c r="D600" s="2">
        <v>6234.5150000000003</v>
      </c>
      <c r="E600" s="2">
        <v>2654.21</v>
      </c>
      <c r="F600" s="2">
        <v>15925</v>
      </c>
      <c r="G600" s="2">
        <v>3919.27</v>
      </c>
      <c r="H600" s="2">
        <v>5892.69</v>
      </c>
      <c r="I600" s="2">
        <v>250</v>
      </c>
      <c r="J600" s="2">
        <v>6234.5150000000003</v>
      </c>
      <c r="K600" s="2">
        <v>2654.21</v>
      </c>
      <c r="L600" s="2">
        <v>15925</v>
      </c>
      <c r="M600" s="2">
        <v>3919.27</v>
      </c>
      <c r="N600" s="2">
        <v>5892.69</v>
      </c>
      <c r="O600" s="2">
        <v>250</v>
      </c>
      <c r="P600" s="8">
        <v>5.0530100000000001E-2</v>
      </c>
      <c r="Q600" s="8">
        <v>1.95313</v>
      </c>
      <c r="R600" s="8">
        <v>0.109898</v>
      </c>
      <c r="S600" s="8">
        <f>Tabelle1[[#This Row],[corr_x]]/1000</f>
        <v>6.234515</v>
      </c>
      <c r="T600" s="8">
        <f>Tabelle1[[#This Row],[corr_y]]/1000</f>
        <v>2.65421</v>
      </c>
      <c r="U600" s="8">
        <f>Tabelle1[[#This Row],[corr_z]]/1000</f>
        <v>15.925000000000001</v>
      </c>
      <c r="V600" s="8">
        <f>Tabelle1[[#This Row],[corr_soma_x]]/1000</f>
        <v>3.91927</v>
      </c>
      <c r="W600" s="8">
        <f>Tabelle1[[#This Row],[corr_soma_y]]/1000</f>
        <v>5.89269</v>
      </c>
      <c r="X600" s="8">
        <f>Tabelle1[[#This Row],[corr_soma_z]]/1000</f>
        <v>0.25</v>
      </c>
    </row>
    <row r="601" spans="1:24" x14ac:dyDescent="0.35">
      <c r="A601" s="7" t="s">
        <v>16</v>
      </c>
      <c r="B601" s="7" t="s">
        <v>18</v>
      </c>
      <c r="C601" s="6">
        <v>75</v>
      </c>
      <c r="D601" s="2">
        <v>6668.21</v>
      </c>
      <c r="E601" s="2">
        <v>2784.35</v>
      </c>
      <c r="F601" s="2">
        <v>16100.000000000002</v>
      </c>
      <c r="G601" s="2">
        <v>3919.27</v>
      </c>
      <c r="H601" s="2">
        <v>5892.69</v>
      </c>
      <c r="I601" s="2">
        <v>250</v>
      </c>
      <c r="J601" s="2">
        <v>6668.21</v>
      </c>
      <c r="K601" s="2">
        <v>2784.35</v>
      </c>
      <c r="L601" s="2">
        <v>16100.000000000002</v>
      </c>
      <c r="M601" s="2">
        <v>3919.27</v>
      </c>
      <c r="N601" s="2">
        <v>5892.69</v>
      </c>
      <c r="O601" s="2">
        <v>250</v>
      </c>
      <c r="P601" s="8">
        <v>8.1190100000000001E-2</v>
      </c>
      <c r="Q601" s="8">
        <v>1.6858299999999999</v>
      </c>
      <c r="R601" s="8">
        <v>0.124697</v>
      </c>
      <c r="S601" s="8">
        <f>Tabelle1[[#This Row],[corr_x]]/1000</f>
        <v>6.6682100000000002</v>
      </c>
      <c r="T601" s="8">
        <f>Tabelle1[[#This Row],[corr_y]]/1000</f>
        <v>2.7843499999999999</v>
      </c>
      <c r="U601" s="8">
        <f>Tabelle1[[#This Row],[corr_z]]/1000</f>
        <v>16.100000000000001</v>
      </c>
      <c r="V601" s="8">
        <f>Tabelle1[[#This Row],[corr_soma_x]]/1000</f>
        <v>3.91927</v>
      </c>
      <c r="W601" s="8">
        <f>Tabelle1[[#This Row],[corr_soma_y]]/1000</f>
        <v>5.89269</v>
      </c>
      <c r="X601" s="8">
        <f>Tabelle1[[#This Row],[corr_soma_z]]/1000</f>
        <v>0.25</v>
      </c>
    </row>
    <row r="602" spans="1:24" x14ac:dyDescent="0.35">
      <c r="A602" s="7" t="s">
        <v>16</v>
      </c>
      <c r="B602" s="7" t="s">
        <v>18</v>
      </c>
      <c r="C602" s="6">
        <v>76</v>
      </c>
      <c r="D602" s="2">
        <v>7021.5150000000012</v>
      </c>
      <c r="E602" s="2">
        <v>3006.5650000000001</v>
      </c>
      <c r="F602" s="2">
        <v>16075.000000000004</v>
      </c>
      <c r="G602" s="2">
        <v>3919.27</v>
      </c>
      <c r="H602" s="2">
        <v>5892.69</v>
      </c>
      <c r="I602" s="2">
        <v>250</v>
      </c>
      <c r="J602" s="2">
        <v>7021.5150000000012</v>
      </c>
      <c r="K602" s="2">
        <v>3006.5650000000001</v>
      </c>
      <c r="L602" s="2">
        <v>16075.000000000004</v>
      </c>
      <c r="M602" s="2">
        <v>3919.27</v>
      </c>
      <c r="N602" s="2">
        <v>5892.69</v>
      </c>
      <c r="O602" s="2">
        <v>250</v>
      </c>
      <c r="P602" s="8">
        <v>4.3856600000000003E-2</v>
      </c>
      <c r="Q602" s="8">
        <v>0.83428000000000002</v>
      </c>
      <c r="R602" s="8">
        <v>4.4417100000000001E-2</v>
      </c>
      <c r="S602" s="8">
        <f>Tabelle1[[#This Row],[corr_x]]/1000</f>
        <v>7.0215150000000008</v>
      </c>
      <c r="T602" s="8">
        <f>Tabelle1[[#This Row],[corr_y]]/1000</f>
        <v>3.0065650000000002</v>
      </c>
      <c r="U602" s="8">
        <f>Tabelle1[[#This Row],[corr_z]]/1000</f>
        <v>16.075000000000003</v>
      </c>
      <c r="V602" s="8">
        <f>Tabelle1[[#This Row],[corr_soma_x]]/1000</f>
        <v>3.91927</v>
      </c>
      <c r="W602" s="8">
        <f>Tabelle1[[#This Row],[corr_soma_y]]/1000</f>
        <v>5.89269</v>
      </c>
      <c r="X602" s="8">
        <f>Tabelle1[[#This Row],[corr_soma_z]]/1000</f>
        <v>0.25</v>
      </c>
    </row>
    <row r="603" spans="1:24" x14ac:dyDescent="0.35">
      <c r="A603" s="7" t="s">
        <v>16</v>
      </c>
      <c r="B603" s="7" t="s">
        <v>18</v>
      </c>
      <c r="C603" s="6">
        <v>77</v>
      </c>
      <c r="D603" s="2">
        <v>6968.66</v>
      </c>
      <c r="E603" s="2">
        <v>3149.36</v>
      </c>
      <c r="F603" s="2">
        <v>16900</v>
      </c>
      <c r="G603" s="2">
        <v>3919.27</v>
      </c>
      <c r="H603" s="2">
        <v>5892.69</v>
      </c>
      <c r="I603" s="2">
        <v>250</v>
      </c>
      <c r="J603" s="2">
        <v>6968.66</v>
      </c>
      <c r="K603" s="2">
        <v>3149.36</v>
      </c>
      <c r="L603" s="2">
        <v>16900</v>
      </c>
      <c r="M603" s="2">
        <v>3919.27</v>
      </c>
      <c r="N603" s="2">
        <v>5892.69</v>
      </c>
      <c r="O603" s="2">
        <v>250</v>
      </c>
      <c r="P603" s="8">
        <v>4.0065900000000002E-2</v>
      </c>
      <c r="Q603" s="8">
        <v>1.1398299999999999</v>
      </c>
      <c r="R603" s="8">
        <v>3.72479E-2</v>
      </c>
      <c r="S603" s="8">
        <f>Tabelle1[[#This Row],[corr_x]]/1000</f>
        <v>6.9686599999999999</v>
      </c>
      <c r="T603" s="8">
        <f>Tabelle1[[#This Row],[corr_y]]/1000</f>
        <v>3.1493600000000002</v>
      </c>
      <c r="U603" s="8">
        <f>Tabelle1[[#This Row],[corr_z]]/1000</f>
        <v>16.899999999999999</v>
      </c>
      <c r="V603" s="8">
        <f>Tabelle1[[#This Row],[corr_soma_x]]/1000</f>
        <v>3.91927</v>
      </c>
      <c r="W603" s="8">
        <f>Tabelle1[[#This Row],[corr_soma_y]]/1000</f>
        <v>5.89269</v>
      </c>
      <c r="X603" s="8">
        <f>Tabelle1[[#This Row],[corr_soma_z]]/1000</f>
        <v>0.25</v>
      </c>
    </row>
    <row r="604" spans="1:24" x14ac:dyDescent="0.35">
      <c r="A604" s="7" t="s">
        <v>16</v>
      </c>
      <c r="B604" s="7" t="s">
        <v>18</v>
      </c>
      <c r="C604" s="6">
        <v>78</v>
      </c>
      <c r="D604" s="2">
        <v>6469.95</v>
      </c>
      <c r="E604" s="2">
        <v>2903.63</v>
      </c>
      <c r="F604" s="2">
        <v>16500</v>
      </c>
      <c r="G604" s="2">
        <v>3919.27</v>
      </c>
      <c r="H604" s="2">
        <v>5892.69</v>
      </c>
      <c r="I604" s="2">
        <v>250</v>
      </c>
      <c r="J604" s="2">
        <v>6469.95</v>
      </c>
      <c r="K604" s="2">
        <v>2903.63</v>
      </c>
      <c r="L604" s="2">
        <v>16500</v>
      </c>
      <c r="M604" s="2">
        <v>3919.27</v>
      </c>
      <c r="N604" s="2">
        <v>5892.69</v>
      </c>
      <c r="O604" s="2">
        <v>250</v>
      </c>
      <c r="P604" s="8">
        <v>3.1965500000000001E-2</v>
      </c>
      <c r="Q604" s="8">
        <v>1.1561399999999999</v>
      </c>
      <c r="R604" s="8">
        <v>0.103368</v>
      </c>
      <c r="S604" s="8">
        <f>Tabelle1[[#This Row],[corr_x]]/1000</f>
        <v>6.4699499999999999</v>
      </c>
      <c r="T604" s="8">
        <f>Tabelle1[[#This Row],[corr_y]]/1000</f>
        <v>2.9036300000000002</v>
      </c>
      <c r="U604" s="8">
        <f>Tabelle1[[#This Row],[corr_z]]/1000</f>
        <v>16.5</v>
      </c>
      <c r="V604" s="8">
        <f>Tabelle1[[#This Row],[corr_soma_x]]/1000</f>
        <v>3.91927</v>
      </c>
      <c r="W604" s="8">
        <f>Tabelle1[[#This Row],[corr_soma_y]]/1000</f>
        <v>5.89269</v>
      </c>
      <c r="X604" s="8">
        <f>Tabelle1[[#This Row],[corr_soma_z]]/1000</f>
        <v>0.25</v>
      </c>
    </row>
    <row r="605" spans="1:24" x14ac:dyDescent="0.35">
      <c r="A605" s="7" t="s">
        <v>16</v>
      </c>
      <c r="B605" s="7" t="s">
        <v>18</v>
      </c>
      <c r="C605" s="6">
        <v>79</v>
      </c>
      <c r="D605" s="2">
        <v>5911.32</v>
      </c>
      <c r="E605" s="2">
        <v>2842.4</v>
      </c>
      <c r="F605" s="2">
        <v>15050</v>
      </c>
      <c r="G605" s="2">
        <v>3919.27</v>
      </c>
      <c r="H605" s="2">
        <v>5892.69</v>
      </c>
      <c r="I605" s="2">
        <v>250</v>
      </c>
      <c r="J605" s="2">
        <v>5911.32</v>
      </c>
      <c r="K605" s="2">
        <v>2842.4</v>
      </c>
      <c r="L605" s="2">
        <v>15050</v>
      </c>
      <c r="M605" s="2">
        <v>3919.27</v>
      </c>
      <c r="N605" s="2">
        <v>5892.69</v>
      </c>
      <c r="O605" s="2">
        <v>250</v>
      </c>
      <c r="P605" s="8">
        <v>1.30432E-2</v>
      </c>
      <c r="Q605" s="8">
        <v>0.82820199999999999</v>
      </c>
      <c r="R605" s="8">
        <v>4.1193599999999997E-2</v>
      </c>
      <c r="S605" s="8">
        <f>Tabelle1[[#This Row],[corr_x]]/1000</f>
        <v>5.9113199999999999</v>
      </c>
      <c r="T605" s="8">
        <f>Tabelle1[[#This Row],[corr_y]]/1000</f>
        <v>2.8424</v>
      </c>
      <c r="U605" s="8">
        <f>Tabelle1[[#This Row],[corr_z]]/1000</f>
        <v>15.05</v>
      </c>
      <c r="V605" s="8">
        <f>Tabelle1[[#This Row],[corr_soma_x]]/1000</f>
        <v>3.91927</v>
      </c>
      <c r="W605" s="8">
        <f>Tabelle1[[#This Row],[corr_soma_y]]/1000</f>
        <v>5.89269</v>
      </c>
      <c r="X605" s="8">
        <f>Tabelle1[[#This Row],[corr_soma_z]]/1000</f>
        <v>0.25</v>
      </c>
    </row>
    <row r="606" spans="1:24" x14ac:dyDescent="0.35">
      <c r="A606" s="7" t="s">
        <v>16</v>
      </c>
      <c r="B606" s="7" t="s">
        <v>19</v>
      </c>
      <c r="C606" s="6">
        <v>12</v>
      </c>
      <c r="D606" s="2">
        <v>5912.4650000000001</v>
      </c>
      <c r="E606" s="2">
        <v>3140.7850000000003</v>
      </c>
      <c r="F606" s="2">
        <v>15025</v>
      </c>
      <c r="G606" s="2">
        <v>3919.27</v>
      </c>
      <c r="H606" s="2">
        <v>5892.69</v>
      </c>
      <c r="I606" s="2">
        <v>250</v>
      </c>
      <c r="J606" s="2">
        <v>5912.4650000000001</v>
      </c>
      <c r="K606" s="2">
        <v>3140.7850000000003</v>
      </c>
      <c r="L606" s="2">
        <v>15025</v>
      </c>
      <c r="M606" s="2">
        <v>3919.27</v>
      </c>
      <c r="N606" s="2">
        <v>5892.69</v>
      </c>
      <c r="O606" s="2">
        <v>250</v>
      </c>
      <c r="P606" s="8">
        <v>3.9787000000000003E-2</v>
      </c>
      <c r="Q606" s="8">
        <v>2.73108</v>
      </c>
      <c r="R606" s="8">
        <v>0.25004700000000002</v>
      </c>
      <c r="S606" s="8">
        <f>Tabelle1[[#This Row],[corr_x]]/1000</f>
        <v>5.9124650000000001</v>
      </c>
      <c r="T606" s="8">
        <f>Tabelle1[[#This Row],[corr_y]]/1000</f>
        <v>3.1407850000000002</v>
      </c>
      <c r="U606" s="8">
        <f>Tabelle1[[#This Row],[corr_z]]/1000</f>
        <v>15.025</v>
      </c>
      <c r="V606" s="8">
        <f>Tabelle1[[#This Row],[corr_soma_x]]/1000</f>
        <v>3.91927</v>
      </c>
      <c r="W606" s="8">
        <f>Tabelle1[[#This Row],[corr_soma_y]]/1000</f>
        <v>5.89269</v>
      </c>
      <c r="X606" s="8">
        <f>Tabelle1[[#This Row],[corr_soma_z]]/1000</f>
        <v>0.25</v>
      </c>
    </row>
    <row r="607" spans="1:24" x14ac:dyDescent="0.35">
      <c r="A607" s="7" t="s">
        <v>16</v>
      </c>
      <c r="B607" s="7" t="s">
        <v>18</v>
      </c>
      <c r="C607" s="6">
        <v>80</v>
      </c>
      <c r="D607" s="2">
        <v>6603.9049999999988</v>
      </c>
      <c r="E607" s="2">
        <v>3101.56</v>
      </c>
      <c r="F607" s="2">
        <v>17275</v>
      </c>
      <c r="G607" s="2">
        <v>3919.27</v>
      </c>
      <c r="H607" s="2">
        <v>5892.69</v>
      </c>
      <c r="I607" s="2">
        <v>250</v>
      </c>
      <c r="J607" s="2">
        <v>6603.9049999999988</v>
      </c>
      <c r="K607" s="2">
        <v>3101.56</v>
      </c>
      <c r="L607" s="2">
        <v>17275</v>
      </c>
      <c r="M607" s="2">
        <v>3919.27</v>
      </c>
      <c r="N607" s="2">
        <v>5892.69</v>
      </c>
      <c r="O607" s="2">
        <v>250</v>
      </c>
      <c r="P607" s="8">
        <v>6.5045900000000004E-2</v>
      </c>
      <c r="Q607" s="8">
        <v>1.4895499999999999</v>
      </c>
      <c r="R607" s="8">
        <v>7.8545199999999996E-2</v>
      </c>
      <c r="S607" s="8">
        <f>Tabelle1[[#This Row],[corr_x]]/1000</f>
        <v>6.6039049999999992</v>
      </c>
      <c r="T607" s="8">
        <f>Tabelle1[[#This Row],[corr_y]]/1000</f>
        <v>3.1015600000000001</v>
      </c>
      <c r="U607" s="8">
        <f>Tabelle1[[#This Row],[corr_z]]/1000</f>
        <v>17.274999999999999</v>
      </c>
      <c r="V607" s="8">
        <f>Tabelle1[[#This Row],[corr_soma_x]]/1000</f>
        <v>3.91927</v>
      </c>
      <c r="W607" s="8">
        <f>Tabelle1[[#This Row],[corr_soma_y]]/1000</f>
        <v>5.89269</v>
      </c>
      <c r="X607" s="8">
        <f>Tabelle1[[#This Row],[corr_soma_z]]/1000</f>
        <v>0.25</v>
      </c>
    </row>
    <row r="608" spans="1:24" x14ac:dyDescent="0.35">
      <c r="A608" s="7" t="s">
        <v>16</v>
      </c>
      <c r="B608" s="7" t="s">
        <v>18</v>
      </c>
      <c r="C608" s="6">
        <v>81</v>
      </c>
      <c r="D608" s="2">
        <v>6707.38</v>
      </c>
      <c r="E608" s="2">
        <v>2897.3300000000004</v>
      </c>
      <c r="F608" s="2">
        <v>17200</v>
      </c>
      <c r="G608" s="2">
        <v>3919.27</v>
      </c>
      <c r="H608" s="2">
        <v>5892.69</v>
      </c>
      <c r="I608" s="2">
        <v>250</v>
      </c>
      <c r="J608" s="2">
        <v>6707.38</v>
      </c>
      <c r="K608" s="2">
        <v>2897.3300000000004</v>
      </c>
      <c r="L608" s="2">
        <v>17200</v>
      </c>
      <c r="M608" s="2">
        <v>3919.27</v>
      </c>
      <c r="N608" s="2">
        <v>5892.69</v>
      </c>
      <c r="O608" s="2">
        <v>250</v>
      </c>
      <c r="P608" s="8">
        <v>4.5355399999999997E-2</v>
      </c>
      <c r="Q608" s="8">
        <v>1.84304</v>
      </c>
      <c r="R608" s="8">
        <v>0.15337400000000001</v>
      </c>
      <c r="S608" s="8">
        <f>Tabelle1[[#This Row],[corr_x]]/1000</f>
        <v>6.7073799999999997</v>
      </c>
      <c r="T608" s="8">
        <f>Tabelle1[[#This Row],[corr_y]]/1000</f>
        <v>2.8973300000000002</v>
      </c>
      <c r="U608" s="8">
        <f>Tabelle1[[#This Row],[corr_z]]/1000</f>
        <v>17.2</v>
      </c>
      <c r="V608" s="8">
        <f>Tabelle1[[#This Row],[corr_soma_x]]/1000</f>
        <v>3.91927</v>
      </c>
      <c r="W608" s="8">
        <f>Tabelle1[[#This Row],[corr_soma_y]]/1000</f>
        <v>5.89269</v>
      </c>
      <c r="X608" s="8">
        <f>Tabelle1[[#This Row],[corr_soma_z]]/1000</f>
        <v>0.25</v>
      </c>
    </row>
    <row r="609" spans="1:24" x14ac:dyDescent="0.35">
      <c r="A609" s="7" t="s">
        <v>16</v>
      </c>
      <c r="B609" s="7" t="s">
        <v>18</v>
      </c>
      <c r="C609" s="6">
        <v>82</v>
      </c>
      <c r="D609" s="2">
        <v>6973.42</v>
      </c>
      <c r="E609" s="2">
        <v>2889.32</v>
      </c>
      <c r="F609" s="2">
        <v>17300</v>
      </c>
      <c r="G609" s="2">
        <v>3919.27</v>
      </c>
      <c r="H609" s="2">
        <v>5892.69</v>
      </c>
      <c r="I609" s="2">
        <v>250</v>
      </c>
      <c r="J609" s="2">
        <v>6973.42</v>
      </c>
      <c r="K609" s="2">
        <v>2889.32</v>
      </c>
      <c r="L609" s="2">
        <v>17300</v>
      </c>
      <c r="M609" s="2">
        <v>3919.27</v>
      </c>
      <c r="N609" s="2">
        <v>5892.69</v>
      </c>
      <c r="O609" s="2">
        <v>250</v>
      </c>
      <c r="P609" s="8">
        <v>5.6636800000000001E-2</v>
      </c>
      <c r="Q609" s="8">
        <v>1.4388000000000001</v>
      </c>
      <c r="R609" s="8">
        <v>8.3026799999999998E-2</v>
      </c>
      <c r="S609" s="8">
        <f>Tabelle1[[#This Row],[corr_x]]/1000</f>
        <v>6.97342</v>
      </c>
      <c r="T609" s="8">
        <f>Tabelle1[[#This Row],[corr_y]]/1000</f>
        <v>2.8893200000000001</v>
      </c>
      <c r="U609" s="8">
        <f>Tabelle1[[#This Row],[corr_z]]/1000</f>
        <v>17.3</v>
      </c>
      <c r="V609" s="8">
        <f>Tabelle1[[#This Row],[corr_soma_x]]/1000</f>
        <v>3.91927</v>
      </c>
      <c r="W609" s="8">
        <f>Tabelle1[[#This Row],[corr_soma_y]]/1000</f>
        <v>5.89269</v>
      </c>
      <c r="X609" s="8">
        <f>Tabelle1[[#This Row],[corr_soma_z]]/1000</f>
        <v>0.25</v>
      </c>
    </row>
    <row r="610" spans="1:24" x14ac:dyDescent="0.35">
      <c r="A610" s="7" t="s">
        <v>16</v>
      </c>
      <c r="B610" s="7" t="s">
        <v>18</v>
      </c>
      <c r="C610" s="6">
        <v>83</v>
      </c>
      <c r="D610" s="2">
        <v>7328.9299999999994</v>
      </c>
      <c r="E610" s="2">
        <v>3340.17</v>
      </c>
      <c r="F610" s="2">
        <v>17950</v>
      </c>
      <c r="G610" s="2">
        <v>3919.27</v>
      </c>
      <c r="H610" s="2">
        <v>5892.69</v>
      </c>
      <c r="I610" s="2">
        <v>250</v>
      </c>
      <c r="J610" s="2">
        <v>7328.9299999999994</v>
      </c>
      <c r="K610" s="2">
        <v>3340.17</v>
      </c>
      <c r="L610" s="2">
        <v>17950</v>
      </c>
      <c r="M610" s="2">
        <v>3919.27</v>
      </c>
      <c r="N610" s="2">
        <v>5892.69</v>
      </c>
      <c r="O610" s="2">
        <v>250</v>
      </c>
      <c r="P610" s="8">
        <v>3.2425000000000002E-2</v>
      </c>
      <c r="Q610" s="8">
        <v>1.45045</v>
      </c>
      <c r="R610" s="8">
        <v>0.10161299999999999</v>
      </c>
      <c r="S610" s="8">
        <f>Tabelle1[[#This Row],[corr_x]]/1000</f>
        <v>7.3289299999999997</v>
      </c>
      <c r="T610" s="8">
        <f>Tabelle1[[#This Row],[corr_y]]/1000</f>
        <v>3.3401700000000001</v>
      </c>
      <c r="U610" s="8">
        <f>Tabelle1[[#This Row],[corr_z]]/1000</f>
        <v>17.95</v>
      </c>
      <c r="V610" s="8">
        <f>Tabelle1[[#This Row],[corr_soma_x]]/1000</f>
        <v>3.91927</v>
      </c>
      <c r="W610" s="8">
        <f>Tabelle1[[#This Row],[corr_soma_y]]/1000</f>
        <v>5.89269</v>
      </c>
      <c r="X610" s="8">
        <f>Tabelle1[[#This Row],[corr_soma_z]]/1000</f>
        <v>0.25</v>
      </c>
    </row>
    <row r="611" spans="1:24" x14ac:dyDescent="0.35">
      <c r="A611" s="7" t="s">
        <v>16</v>
      </c>
      <c r="B611" s="7" t="s">
        <v>18</v>
      </c>
      <c r="C611" s="6">
        <v>84</v>
      </c>
      <c r="D611" s="2">
        <v>7236.58</v>
      </c>
      <c r="E611" s="2">
        <v>3620.6299999999997</v>
      </c>
      <c r="F611" s="2">
        <v>18150</v>
      </c>
      <c r="G611" s="2">
        <v>3919.27</v>
      </c>
      <c r="H611" s="2">
        <v>5892.69</v>
      </c>
      <c r="I611" s="2">
        <v>250</v>
      </c>
      <c r="J611" s="2">
        <v>7236.58</v>
      </c>
      <c r="K611" s="2">
        <v>3620.6299999999997</v>
      </c>
      <c r="L611" s="2">
        <v>18150</v>
      </c>
      <c r="M611" s="2">
        <v>3919.27</v>
      </c>
      <c r="N611" s="2">
        <v>5892.69</v>
      </c>
      <c r="O611" s="2">
        <v>250</v>
      </c>
      <c r="P611" s="8">
        <v>1.46818E-2</v>
      </c>
      <c r="Q611" s="8">
        <v>1.4296599999999999</v>
      </c>
      <c r="R611" s="8">
        <v>4.8973200000000001E-2</v>
      </c>
      <c r="S611" s="8">
        <f>Tabelle1[[#This Row],[corr_x]]/1000</f>
        <v>7.23658</v>
      </c>
      <c r="T611" s="8">
        <f>Tabelle1[[#This Row],[corr_y]]/1000</f>
        <v>3.6206299999999998</v>
      </c>
      <c r="U611" s="8">
        <f>Tabelle1[[#This Row],[corr_z]]/1000</f>
        <v>18.149999999999999</v>
      </c>
      <c r="V611" s="8">
        <f>Tabelle1[[#This Row],[corr_soma_x]]/1000</f>
        <v>3.91927</v>
      </c>
      <c r="W611" s="8">
        <f>Tabelle1[[#This Row],[corr_soma_y]]/1000</f>
        <v>5.89269</v>
      </c>
      <c r="X611" s="8">
        <f>Tabelle1[[#This Row],[corr_soma_z]]/1000</f>
        <v>0.25</v>
      </c>
    </row>
    <row r="612" spans="1:24" x14ac:dyDescent="0.35">
      <c r="A612" s="7" t="s">
        <v>16</v>
      </c>
      <c r="B612" s="7" t="s">
        <v>18</v>
      </c>
      <c r="C612" s="6">
        <v>85</v>
      </c>
      <c r="D612" s="2">
        <v>7221.24</v>
      </c>
      <c r="E612" s="2">
        <v>3721.05</v>
      </c>
      <c r="F612" s="2">
        <v>18500</v>
      </c>
      <c r="G612" s="2">
        <v>3919.27</v>
      </c>
      <c r="H612" s="2">
        <v>5892.69</v>
      </c>
      <c r="I612" s="2">
        <v>250</v>
      </c>
      <c r="J612" s="2">
        <v>7221.24</v>
      </c>
      <c r="K612" s="2">
        <v>3721.05</v>
      </c>
      <c r="L612" s="2">
        <v>18500</v>
      </c>
      <c r="M612" s="2">
        <v>3919.27</v>
      </c>
      <c r="N612" s="2">
        <v>5892.69</v>
      </c>
      <c r="O612" s="2">
        <v>250</v>
      </c>
      <c r="P612" s="8">
        <v>2.3142200000000002E-2</v>
      </c>
      <c r="Q612" s="8">
        <v>1.1569799999999999</v>
      </c>
      <c r="R612" s="8">
        <v>5.4809900000000002E-2</v>
      </c>
      <c r="S612" s="8">
        <f>Tabelle1[[#This Row],[corr_x]]/1000</f>
        <v>7.2212399999999999</v>
      </c>
      <c r="T612" s="8">
        <f>Tabelle1[[#This Row],[corr_y]]/1000</f>
        <v>3.72105</v>
      </c>
      <c r="U612" s="8">
        <f>Tabelle1[[#This Row],[corr_z]]/1000</f>
        <v>18.5</v>
      </c>
      <c r="V612" s="8">
        <f>Tabelle1[[#This Row],[corr_soma_x]]/1000</f>
        <v>3.91927</v>
      </c>
      <c r="W612" s="8">
        <f>Tabelle1[[#This Row],[corr_soma_y]]/1000</f>
        <v>5.89269</v>
      </c>
      <c r="X612" s="8">
        <f>Tabelle1[[#This Row],[corr_soma_z]]/1000</f>
        <v>0.25</v>
      </c>
    </row>
    <row r="613" spans="1:24" x14ac:dyDescent="0.35">
      <c r="A613" s="7" t="s">
        <v>16</v>
      </c>
      <c r="B613" s="7" t="s">
        <v>18</v>
      </c>
      <c r="C613" s="6">
        <v>86</v>
      </c>
      <c r="D613" s="2">
        <v>6929.43</v>
      </c>
      <c r="E613" s="2">
        <v>3293.22</v>
      </c>
      <c r="F613" s="2">
        <v>18775</v>
      </c>
      <c r="G613" s="2">
        <v>3919.27</v>
      </c>
      <c r="H613" s="2">
        <v>5892.69</v>
      </c>
      <c r="I613" s="2">
        <v>250</v>
      </c>
      <c r="J613" s="2">
        <v>6929.43</v>
      </c>
      <c r="K613" s="2">
        <v>3293.22</v>
      </c>
      <c r="L613" s="2">
        <v>18775</v>
      </c>
      <c r="M613" s="2">
        <v>3919.27</v>
      </c>
      <c r="N613" s="2">
        <v>5892.69</v>
      </c>
      <c r="O613" s="2">
        <v>250</v>
      </c>
      <c r="P613" s="8">
        <v>4.0244299999999997E-2</v>
      </c>
      <c r="Q613" s="8">
        <v>0.70658500000000002</v>
      </c>
      <c r="R613" s="8">
        <v>3.19587E-2</v>
      </c>
      <c r="S613" s="8">
        <f>Tabelle1[[#This Row],[corr_x]]/1000</f>
        <v>6.92943</v>
      </c>
      <c r="T613" s="8">
        <f>Tabelle1[[#This Row],[corr_y]]/1000</f>
        <v>3.2932199999999998</v>
      </c>
      <c r="U613" s="8">
        <f>Tabelle1[[#This Row],[corr_z]]/1000</f>
        <v>18.774999999999999</v>
      </c>
      <c r="V613" s="8">
        <f>Tabelle1[[#This Row],[corr_soma_x]]/1000</f>
        <v>3.91927</v>
      </c>
      <c r="W613" s="8">
        <f>Tabelle1[[#This Row],[corr_soma_y]]/1000</f>
        <v>5.89269</v>
      </c>
      <c r="X613" s="8">
        <f>Tabelle1[[#This Row],[corr_soma_z]]/1000</f>
        <v>0.25</v>
      </c>
    </row>
    <row r="614" spans="1:24" x14ac:dyDescent="0.35">
      <c r="A614" s="7" t="s">
        <v>16</v>
      </c>
      <c r="B614" s="7" t="s">
        <v>18</v>
      </c>
      <c r="C614" s="6">
        <v>87</v>
      </c>
      <c r="D614" s="2">
        <v>7323.53</v>
      </c>
      <c r="E614" s="2">
        <v>3793.49</v>
      </c>
      <c r="F614" s="2">
        <v>19200</v>
      </c>
      <c r="G614" s="2">
        <v>3919.27</v>
      </c>
      <c r="H614" s="2">
        <v>5892.69</v>
      </c>
      <c r="I614" s="2">
        <v>250</v>
      </c>
      <c r="J614" s="2">
        <v>7323.53</v>
      </c>
      <c r="K614" s="2">
        <v>3793.49</v>
      </c>
      <c r="L614" s="2">
        <v>19200</v>
      </c>
      <c r="M614" s="2">
        <v>3919.27</v>
      </c>
      <c r="N614" s="2">
        <v>5892.69</v>
      </c>
      <c r="O614" s="2">
        <v>250</v>
      </c>
      <c r="P614" s="8">
        <v>6.5934499999999993E-2</v>
      </c>
      <c r="Q614" s="8">
        <v>1.8107</v>
      </c>
      <c r="R614" s="8">
        <v>8.8946499999999998E-2</v>
      </c>
      <c r="S614" s="8">
        <f>Tabelle1[[#This Row],[corr_x]]/1000</f>
        <v>7.3235299999999999</v>
      </c>
      <c r="T614" s="8">
        <f>Tabelle1[[#This Row],[corr_y]]/1000</f>
        <v>3.7934899999999998</v>
      </c>
      <c r="U614" s="8">
        <f>Tabelle1[[#This Row],[corr_z]]/1000</f>
        <v>19.2</v>
      </c>
      <c r="V614" s="8">
        <f>Tabelle1[[#This Row],[corr_soma_x]]/1000</f>
        <v>3.91927</v>
      </c>
      <c r="W614" s="8">
        <f>Tabelle1[[#This Row],[corr_soma_y]]/1000</f>
        <v>5.89269</v>
      </c>
      <c r="X614" s="8">
        <f>Tabelle1[[#This Row],[corr_soma_z]]/1000</f>
        <v>0.25</v>
      </c>
    </row>
    <row r="615" spans="1:24" x14ac:dyDescent="0.35">
      <c r="A615" s="7" t="s">
        <v>16</v>
      </c>
      <c r="B615" s="7" t="s">
        <v>18</v>
      </c>
      <c r="C615" s="6">
        <v>88</v>
      </c>
      <c r="D615" s="2">
        <v>7454.93</v>
      </c>
      <c r="E615" s="2">
        <v>3659.5</v>
      </c>
      <c r="F615" s="2">
        <v>19100</v>
      </c>
      <c r="G615" s="2">
        <v>3919.27</v>
      </c>
      <c r="H615" s="2">
        <v>5892.69</v>
      </c>
      <c r="I615" s="2">
        <v>250</v>
      </c>
      <c r="J615" s="2">
        <v>7454.93</v>
      </c>
      <c r="K615" s="2">
        <v>3659.5</v>
      </c>
      <c r="L615" s="2">
        <v>19100</v>
      </c>
      <c r="M615" s="2">
        <v>3919.27</v>
      </c>
      <c r="N615" s="2">
        <v>5892.69</v>
      </c>
      <c r="O615" s="2">
        <v>250</v>
      </c>
      <c r="P615" s="8">
        <v>2.73832E-2</v>
      </c>
      <c r="Q615" s="8">
        <v>0.862429</v>
      </c>
      <c r="R615" s="8">
        <v>3.3800400000000001E-2</v>
      </c>
      <c r="S615" s="8">
        <f>Tabelle1[[#This Row],[corr_x]]/1000</f>
        <v>7.4549300000000001</v>
      </c>
      <c r="T615" s="8">
        <f>Tabelle1[[#This Row],[corr_y]]/1000</f>
        <v>3.6595</v>
      </c>
      <c r="U615" s="8">
        <f>Tabelle1[[#This Row],[corr_z]]/1000</f>
        <v>19.100000000000001</v>
      </c>
      <c r="V615" s="8">
        <f>Tabelle1[[#This Row],[corr_soma_x]]/1000</f>
        <v>3.91927</v>
      </c>
      <c r="W615" s="8">
        <f>Tabelle1[[#This Row],[corr_soma_y]]/1000</f>
        <v>5.89269</v>
      </c>
      <c r="X615" s="8">
        <f>Tabelle1[[#This Row],[corr_soma_z]]/1000</f>
        <v>0.25</v>
      </c>
    </row>
    <row r="616" spans="1:24" x14ac:dyDescent="0.35">
      <c r="A616" s="7" t="s">
        <v>16</v>
      </c>
      <c r="B616" s="7" t="s">
        <v>18</v>
      </c>
      <c r="C616" s="6">
        <v>89</v>
      </c>
      <c r="D616" s="2">
        <v>7052.1149999999998</v>
      </c>
      <c r="E616" s="2">
        <v>3347.4300000000003</v>
      </c>
      <c r="F616" s="2">
        <v>19275</v>
      </c>
      <c r="G616" s="2">
        <v>3919.27</v>
      </c>
      <c r="H616" s="2">
        <v>5892.69</v>
      </c>
      <c r="I616" s="2">
        <v>250</v>
      </c>
      <c r="J616" s="2">
        <v>7052.1149999999998</v>
      </c>
      <c r="K616" s="2">
        <v>3347.4300000000003</v>
      </c>
      <c r="L616" s="2">
        <v>19275</v>
      </c>
      <c r="M616" s="2">
        <v>3919.27</v>
      </c>
      <c r="N616" s="2">
        <v>5892.69</v>
      </c>
      <c r="O616" s="2">
        <v>250</v>
      </c>
      <c r="P616" s="8">
        <v>3.9853399999999997E-2</v>
      </c>
      <c r="Q616" s="8">
        <v>1.84402</v>
      </c>
      <c r="R616" s="8">
        <v>7.7905500000000003E-2</v>
      </c>
      <c r="S616" s="8">
        <f>Tabelle1[[#This Row],[corr_x]]/1000</f>
        <v>7.0521149999999997</v>
      </c>
      <c r="T616" s="8">
        <f>Tabelle1[[#This Row],[corr_y]]/1000</f>
        <v>3.3474300000000001</v>
      </c>
      <c r="U616" s="8">
        <f>Tabelle1[[#This Row],[corr_z]]/1000</f>
        <v>19.274999999999999</v>
      </c>
      <c r="V616" s="8">
        <f>Tabelle1[[#This Row],[corr_soma_x]]/1000</f>
        <v>3.91927</v>
      </c>
      <c r="W616" s="8">
        <f>Tabelle1[[#This Row],[corr_soma_y]]/1000</f>
        <v>5.89269</v>
      </c>
      <c r="X616" s="8">
        <f>Tabelle1[[#This Row],[corr_soma_z]]/1000</f>
        <v>0.25</v>
      </c>
    </row>
    <row r="617" spans="1:24" x14ac:dyDescent="0.35">
      <c r="A617" s="7" t="s">
        <v>16</v>
      </c>
      <c r="B617" s="7" t="s">
        <v>18</v>
      </c>
      <c r="C617" s="6">
        <v>90</v>
      </c>
      <c r="D617" s="2">
        <v>7448.42</v>
      </c>
      <c r="E617" s="2">
        <v>3526.77</v>
      </c>
      <c r="F617" s="2">
        <v>18525</v>
      </c>
      <c r="G617" s="2">
        <v>3919.27</v>
      </c>
      <c r="H617" s="2">
        <v>5892.69</v>
      </c>
      <c r="I617" s="2">
        <v>250</v>
      </c>
      <c r="J617" s="2">
        <v>7448.42</v>
      </c>
      <c r="K617" s="2">
        <v>3526.77</v>
      </c>
      <c r="L617" s="2">
        <v>18525</v>
      </c>
      <c r="M617" s="2">
        <v>3919.27</v>
      </c>
      <c r="N617" s="2">
        <v>5892.69</v>
      </c>
      <c r="O617" s="2">
        <v>250</v>
      </c>
      <c r="P617" s="8">
        <v>1.44028E-2</v>
      </c>
      <c r="Q617" s="8">
        <v>0.689164</v>
      </c>
      <c r="R617" s="8">
        <v>3.0843099999999998E-2</v>
      </c>
      <c r="S617" s="8">
        <f>Tabelle1[[#This Row],[corr_x]]/1000</f>
        <v>7.4484200000000005</v>
      </c>
      <c r="T617" s="8">
        <f>Tabelle1[[#This Row],[corr_y]]/1000</f>
        <v>3.52677</v>
      </c>
      <c r="U617" s="8">
        <f>Tabelle1[[#This Row],[corr_z]]/1000</f>
        <v>18.524999999999999</v>
      </c>
      <c r="V617" s="8">
        <f>Tabelle1[[#This Row],[corr_soma_x]]/1000</f>
        <v>3.91927</v>
      </c>
      <c r="W617" s="8">
        <f>Tabelle1[[#This Row],[corr_soma_y]]/1000</f>
        <v>5.89269</v>
      </c>
      <c r="X617" s="8">
        <f>Tabelle1[[#This Row],[corr_soma_z]]/1000</f>
        <v>0.25</v>
      </c>
    </row>
    <row r="618" spans="1:24" x14ac:dyDescent="0.35">
      <c r="A618" s="7" t="s">
        <v>16</v>
      </c>
      <c r="B618" s="7" t="s">
        <v>18</v>
      </c>
      <c r="C618" s="6">
        <v>91</v>
      </c>
      <c r="D618" s="2">
        <v>7331.9400000000005</v>
      </c>
      <c r="E618" s="2">
        <v>3362.5699999999997</v>
      </c>
      <c r="F618" s="2">
        <v>19450</v>
      </c>
      <c r="G618" s="2">
        <v>3919.27</v>
      </c>
      <c r="H618" s="2">
        <v>5892.69</v>
      </c>
      <c r="I618" s="2">
        <v>250</v>
      </c>
      <c r="J618" s="2">
        <v>7331.9400000000005</v>
      </c>
      <c r="K618" s="2">
        <v>3362.5699999999997</v>
      </c>
      <c r="L618" s="2">
        <v>19450</v>
      </c>
      <c r="M618" s="2">
        <v>3919.27</v>
      </c>
      <c r="N618" s="2">
        <v>5892.69</v>
      </c>
      <c r="O618" s="2">
        <v>250</v>
      </c>
      <c r="P618" s="8">
        <v>1.9408399999999999E-2</v>
      </c>
      <c r="Q618" s="8">
        <v>3.476</v>
      </c>
      <c r="R618" s="8">
        <v>0.31433499999999998</v>
      </c>
      <c r="S618" s="8">
        <f>Tabelle1[[#This Row],[corr_x]]/1000</f>
        <v>7.3319400000000003</v>
      </c>
      <c r="T618" s="8">
        <f>Tabelle1[[#This Row],[corr_y]]/1000</f>
        <v>3.3625699999999998</v>
      </c>
      <c r="U618" s="8">
        <f>Tabelle1[[#This Row],[corr_z]]/1000</f>
        <v>19.45</v>
      </c>
      <c r="V618" s="8">
        <f>Tabelle1[[#This Row],[corr_soma_x]]/1000</f>
        <v>3.91927</v>
      </c>
      <c r="W618" s="8">
        <f>Tabelle1[[#This Row],[corr_soma_y]]/1000</f>
        <v>5.89269</v>
      </c>
      <c r="X618" s="8">
        <f>Tabelle1[[#This Row],[corr_soma_z]]/1000</f>
        <v>0.25</v>
      </c>
    </row>
    <row r="619" spans="1:24" x14ac:dyDescent="0.35">
      <c r="A619" s="7" t="s">
        <v>16</v>
      </c>
      <c r="B619" s="7" t="s">
        <v>19</v>
      </c>
      <c r="C619" s="6">
        <v>13</v>
      </c>
      <c r="D619" s="2">
        <v>7426.4000000000005</v>
      </c>
      <c r="E619" s="2">
        <v>3939.2449999999999</v>
      </c>
      <c r="F619" s="2">
        <v>19575.000000000004</v>
      </c>
      <c r="G619" s="2">
        <v>3919.27</v>
      </c>
      <c r="H619" s="2">
        <v>5892.69</v>
      </c>
      <c r="I619" s="2">
        <v>250</v>
      </c>
      <c r="J619" s="2">
        <v>7426.4000000000005</v>
      </c>
      <c r="K619" s="2">
        <v>3939.2449999999999</v>
      </c>
      <c r="L619" s="2">
        <v>19575.000000000004</v>
      </c>
      <c r="M619" s="2">
        <v>3919.27</v>
      </c>
      <c r="N619" s="2">
        <v>5892.69</v>
      </c>
      <c r="O619" s="2">
        <v>250</v>
      </c>
      <c r="P619" s="8">
        <v>3.2085000000000002E-2</v>
      </c>
      <c r="Q619" s="8">
        <v>1.0545100000000001</v>
      </c>
      <c r="R619" s="8">
        <v>3.7623999999999998E-2</v>
      </c>
      <c r="S619" s="8">
        <f>Tabelle1[[#This Row],[corr_x]]/1000</f>
        <v>7.4264000000000001</v>
      </c>
      <c r="T619" s="8">
        <f>Tabelle1[[#This Row],[corr_y]]/1000</f>
        <v>3.9392450000000001</v>
      </c>
      <c r="U619" s="8">
        <f>Tabelle1[[#This Row],[corr_z]]/1000</f>
        <v>19.575000000000003</v>
      </c>
      <c r="V619" s="8">
        <f>Tabelle1[[#This Row],[corr_soma_x]]/1000</f>
        <v>3.91927</v>
      </c>
      <c r="W619" s="8">
        <f>Tabelle1[[#This Row],[corr_soma_y]]/1000</f>
        <v>5.89269</v>
      </c>
      <c r="X619" s="8">
        <f>Tabelle1[[#This Row],[corr_soma_z]]/1000</f>
        <v>0.25</v>
      </c>
    </row>
    <row r="620" spans="1:24" x14ac:dyDescent="0.35">
      <c r="A620" s="7" t="s">
        <v>16</v>
      </c>
      <c r="B620" s="7" t="s">
        <v>18</v>
      </c>
      <c r="C620" s="6">
        <v>92</v>
      </c>
      <c r="D620" s="2">
        <v>7144.95</v>
      </c>
      <c r="E620" s="2">
        <v>3616.07</v>
      </c>
      <c r="F620" s="2">
        <v>19750</v>
      </c>
      <c r="G620" s="2">
        <v>3919.27</v>
      </c>
      <c r="H620" s="2">
        <v>5892.69</v>
      </c>
      <c r="I620" s="2">
        <v>250</v>
      </c>
      <c r="J620" s="2">
        <v>7144.95</v>
      </c>
      <c r="K620" s="2">
        <v>3616.07</v>
      </c>
      <c r="L620" s="2">
        <v>19750</v>
      </c>
      <c r="M620" s="2">
        <v>3919.27</v>
      </c>
      <c r="N620" s="2">
        <v>5892.69</v>
      </c>
      <c r="O620" s="2">
        <v>250</v>
      </c>
      <c r="P620" s="8">
        <v>4.5791800000000001E-2</v>
      </c>
      <c r="Q620" s="8">
        <v>2.1203599999999998</v>
      </c>
      <c r="R620" s="8">
        <v>0.13416400000000001</v>
      </c>
      <c r="S620" s="8">
        <f>Tabelle1[[#This Row],[corr_x]]/1000</f>
        <v>7.1449499999999997</v>
      </c>
      <c r="T620" s="8">
        <f>Tabelle1[[#This Row],[corr_y]]/1000</f>
        <v>3.6160700000000001</v>
      </c>
      <c r="U620" s="8">
        <f>Tabelle1[[#This Row],[corr_z]]/1000</f>
        <v>19.75</v>
      </c>
      <c r="V620" s="8">
        <f>Tabelle1[[#This Row],[corr_soma_x]]/1000</f>
        <v>3.91927</v>
      </c>
      <c r="W620" s="8">
        <f>Tabelle1[[#This Row],[corr_soma_y]]/1000</f>
        <v>5.89269</v>
      </c>
      <c r="X620" s="8">
        <f>Tabelle1[[#This Row],[corr_soma_z]]/1000</f>
        <v>0.25</v>
      </c>
    </row>
    <row r="621" spans="1:24" x14ac:dyDescent="0.35">
      <c r="A621" s="7" t="s">
        <v>16</v>
      </c>
      <c r="B621" s="7" t="s">
        <v>18</v>
      </c>
      <c r="C621" s="6">
        <v>93</v>
      </c>
      <c r="D621" s="2">
        <v>7385.93</v>
      </c>
      <c r="E621" s="2">
        <v>3694.19</v>
      </c>
      <c r="F621" s="2">
        <v>20275</v>
      </c>
      <c r="G621" s="2">
        <v>3919.27</v>
      </c>
      <c r="H621" s="2">
        <v>5892.69</v>
      </c>
      <c r="I621" s="2">
        <v>250</v>
      </c>
      <c r="J621" s="2">
        <v>7385.93</v>
      </c>
      <c r="K621" s="2">
        <v>3694.19</v>
      </c>
      <c r="L621" s="2">
        <v>20275</v>
      </c>
      <c r="M621" s="2">
        <v>3919.27</v>
      </c>
      <c r="N621" s="2">
        <v>5892.69</v>
      </c>
      <c r="O621" s="2">
        <v>250</v>
      </c>
      <c r="P621" s="8">
        <v>6.7524899999999999E-2</v>
      </c>
      <c r="Q621" s="8">
        <v>2.2365499999999998</v>
      </c>
      <c r="R621" s="8">
        <v>0.24737500000000001</v>
      </c>
      <c r="S621" s="8">
        <f>Tabelle1[[#This Row],[corr_x]]/1000</f>
        <v>7.3859300000000001</v>
      </c>
      <c r="T621" s="8">
        <f>Tabelle1[[#This Row],[corr_y]]/1000</f>
        <v>3.6941899999999999</v>
      </c>
      <c r="U621" s="8">
        <f>Tabelle1[[#This Row],[corr_z]]/1000</f>
        <v>20.274999999999999</v>
      </c>
      <c r="V621" s="8">
        <f>Tabelle1[[#This Row],[corr_soma_x]]/1000</f>
        <v>3.91927</v>
      </c>
      <c r="W621" s="8">
        <f>Tabelle1[[#This Row],[corr_soma_y]]/1000</f>
        <v>5.89269</v>
      </c>
      <c r="X621" s="8">
        <f>Tabelle1[[#This Row],[corr_soma_z]]/1000</f>
        <v>0.25</v>
      </c>
    </row>
    <row r="622" spans="1:24" x14ac:dyDescent="0.35">
      <c r="A622" s="7" t="s">
        <v>16</v>
      </c>
      <c r="B622" s="7" t="s">
        <v>19</v>
      </c>
      <c r="C622" s="6">
        <v>14</v>
      </c>
      <c r="D622" s="2">
        <v>7413.17</v>
      </c>
      <c r="E622" s="2">
        <v>4126.8600000000006</v>
      </c>
      <c r="F622" s="2">
        <v>20525</v>
      </c>
      <c r="G622" s="2">
        <v>3919.27</v>
      </c>
      <c r="H622" s="2">
        <v>5892.69</v>
      </c>
      <c r="I622" s="2">
        <v>250</v>
      </c>
      <c r="J622" s="2">
        <v>7413.17</v>
      </c>
      <c r="K622" s="2">
        <v>4126.8600000000006</v>
      </c>
      <c r="L622" s="2">
        <v>20525</v>
      </c>
      <c r="M622" s="2">
        <v>3919.27</v>
      </c>
      <c r="N622" s="2">
        <v>5892.69</v>
      </c>
      <c r="O622" s="2">
        <v>250</v>
      </c>
      <c r="P622" s="8">
        <v>0.105131</v>
      </c>
      <c r="Q622" s="8">
        <v>3.56393</v>
      </c>
      <c r="R622" s="8">
        <v>0.22894500000000001</v>
      </c>
      <c r="S622" s="8">
        <f>Tabelle1[[#This Row],[corr_x]]/1000</f>
        <v>7.41317</v>
      </c>
      <c r="T622" s="8">
        <f>Tabelle1[[#This Row],[corr_y]]/1000</f>
        <v>4.1268600000000006</v>
      </c>
      <c r="U622" s="8">
        <f>Tabelle1[[#This Row],[corr_z]]/1000</f>
        <v>20.524999999999999</v>
      </c>
      <c r="V622" s="8">
        <f>Tabelle1[[#This Row],[corr_soma_x]]/1000</f>
        <v>3.91927</v>
      </c>
      <c r="W622" s="8">
        <f>Tabelle1[[#This Row],[corr_soma_y]]/1000</f>
        <v>5.89269</v>
      </c>
      <c r="X622" s="8">
        <f>Tabelle1[[#This Row],[corr_soma_z]]/1000</f>
        <v>0.25</v>
      </c>
    </row>
    <row r="623" spans="1:24" x14ac:dyDescent="0.35">
      <c r="A623" s="7" t="s">
        <v>16</v>
      </c>
      <c r="B623" s="7" t="s">
        <v>18</v>
      </c>
      <c r="C623" s="6">
        <v>94</v>
      </c>
      <c r="D623" s="2">
        <v>7721.8099999999995</v>
      </c>
      <c r="E623" s="2">
        <v>3913.65</v>
      </c>
      <c r="F623" s="2">
        <v>20700</v>
      </c>
      <c r="G623" s="2">
        <v>3919.27</v>
      </c>
      <c r="H623" s="2">
        <v>5892.69</v>
      </c>
      <c r="I623" s="2">
        <v>250</v>
      </c>
      <c r="J623" s="2">
        <v>7721.8099999999995</v>
      </c>
      <c r="K623" s="2">
        <v>3913.65</v>
      </c>
      <c r="L623" s="2">
        <v>20700</v>
      </c>
      <c r="M623" s="2">
        <v>3919.27</v>
      </c>
      <c r="N623" s="2">
        <v>5892.69</v>
      </c>
      <c r="O623" s="2">
        <v>250</v>
      </c>
      <c r="P623" s="8">
        <v>5.5957699999999999E-2</v>
      </c>
      <c r="Q623" s="8">
        <v>1.07056</v>
      </c>
      <c r="R623" s="8">
        <v>6.5779400000000002E-2</v>
      </c>
      <c r="S623" s="8">
        <f>Tabelle1[[#This Row],[corr_x]]/1000</f>
        <v>7.7218099999999996</v>
      </c>
      <c r="T623" s="8">
        <f>Tabelle1[[#This Row],[corr_y]]/1000</f>
        <v>3.9136500000000001</v>
      </c>
      <c r="U623" s="8">
        <f>Tabelle1[[#This Row],[corr_z]]/1000</f>
        <v>20.7</v>
      </c>
      <c r="V623" s="8">
        <f>Tabelle1[[#This Row],[corr_soma_x]]/1000</f>
        <v>3.91927</v>
      </c>
      <c r="W623" s="8">
        <f>Tabelle1[[#This Row],[corr_soma_y]]/1000</f>
        <v>5.89269</v>
      </c>
      <c r="X623" s="8">
        <f>Tabelle1[[#This Row],[corr_soma_z]]/1000</f>
        <v>0.25</v>
      </c>
    </row>
    <row r="624" spans="1:24" x14ac:dyDescent="0.35">
      <c r="A624" s="7" t="s">
        <v>16</v>
      </c>
      <c r="B624" s="7" t="s">
        <v>18</v>
      </c>
      <c r="C624" s="6">
        <v>95</v>
      </c>
      <c r="D624" s="2">
        <v>7519.6050000000005</v>
      </c>
      <c r="E624" s="2">
        <v>3890.8150000000001</v>
      </c>
      <c r="F624" s="2">
        <v>21575.000000000004</v>
      </c>
      <c r="G624" s="2">
        <v>3919.27</v>
      </c>
      <c r="H624" s="2">
        <v>5892.69</v>
      </c>
      <c r="I624" s="2">
        <v>250</v>
      </c>
      <c r="J624" s="2">
        <v>7519.6050000000005</v>
      </c>
      <c r="K624" s="2">
        <v>3890.8150000000001</v>
      </c>
      <c r="L624" s="2">
        <v>21575.000000000004</v>
      </c>
      <c r="M624" s="2">
        <v>3919.27</v>
      </c>
      <c r="N624" s="2">
        <v>5892.69</v>
      </c>
      <c r="O624" s="2">
        <v>250</v>
      </c>
      <c r="P624" s="8">
        <v>7.0835499999999996E-2</v>
      </c>
      <c r="Q624" s="8">
        <v>2.3774700000000002</v>
      </c>
      <c r="R624" s="8">
        <v>0.11365500000000001</v>
      </c>
      <c r="S624" s="8">
        <f>Tabelle1[[#This Row],[corr_x]]/1000</f>
        <v>7.5196050000000003</v>
      </c>
      <c r="T624" s="8">
        <f>Tabelle1[[#This Row],[corr_y]]/1000</f>
        <v>3.8908149999999999</v>
      </c>
      <c r="U624" s="8">
        <f>Tabelle1[[#This Row],[corr_z]]/1000</f>
        <v>21.575000000000003</v>
      </c>
      <c r="V624" s="8">
        <f>Tabelle1[[#This Row],[corr_soma_x]]/1000</f>
        <v>3.91927</v>
      </c>
      <c r="W624" s="8">
        <f>Tabelle1[[#This Row],[corr_soma_y]]/1000</f>
        <v>5.89269</v>
      </c>
      <c r="X624" s="8">
        <f>Tabelle1[[#This Row],[corr_soma_z]]/1000</f>
        <v>0.25</v>
      </c>
    </row>
    <row r="625" spans="1:24" x14ac:dyDescent="0.35">
      <c r="A625" s="7" t="s">
        <v>16</v>
      </c>
      <c r="B625" s="7" t="s">
        <v>18</v>
      </c>
      <c r="C625" s="6">
        <v>96</v>
      </c>
      <c r="D625" s="2">
        <v>7689.37</v>
      </c>
      <c r="E625" s="2">
        <v>4338.0099999999993</v>
      </c>
      <c r="F625" s="2">
        <v>21450</v>
      </c>
      <c r="G625" s="2">
        <v>3919.27</v>
      </c>
      <c r="H625" s="2">
        <v>5892.69</v>
      </c>
      <c r="I625" s="2">
        <v>250</v>
      </c>
      <c r="J625" s="2">
        <v>7689.37</v>
      </c>
      <c r="K625" s="2">
        <v>4338.0099999999993</v>
      </c>
      <c r="L625" s="2">
        <v>21450</v>
      </c>
      <c r="M625" s="2">
        <v>3919.27</v>
      </c>
      <c r="N625" s="2">
        <v>5892.69</v>
      </c>
      <c r="O625" s="2">
        <v>250</v>
      </c>
      <c r="P625" s="8">
        <v>5.7420499999999999E-2</v>
      </c>
      <c r="Q625" s="8">
        <v>2.2823899999999999</v>
      </c>
      <c r="R625" s="8">
        <v>0.218806</v>
      </c>
      <c r="S625" s="8">
        <f>Tabelle1[[#This Row],[corr_x]]/1000</f>
        <v>7.6893700000000003</v>
      </c>
      <c r="T625" s="8">
        <f>Tabelle1[[#This Row],[corr_y]]/1000</f>
        <v>4.3380099999999997</v>
      </c>
      <c r="U625" s="8">
        <f>Tabelle1[[#This Row],[corr_z]]/1000</f>
        <v>21.45</v>
      </c>
      <c r="V625" s="8">
        <f>Tabelle1[[#This Row],[corr_soma_x]]/1000</f>
        <v>3.91927</v>
      </c>
      <c r="W625" s="8">
        <f>Tabelle1[[#This Row],[corr_soma_y]]/1000</f>
        <v>5.89269</v>
      </c>
      <c r="X625" s="8">
        <f>Tabelle1[[#This Row],[corr_soma_z]]/1000</f>
        <v>0.25</v>
      </c>
    </row>
    <row r="626" spans="1:24" x14ac:dyDescent="0.35">
      <c r="A626" s="7" t="s">
        <v>16</v>
      </c>
      <c r="B626" s="7" t="s">
        <v>19</v>
      </c>
      <c r="C626" s="6">
        <v>15</v>
      </c>
      <c r="D626" s="2">
        <v>7839.0899999999992</v>
      </c>
      <c r="E626" s="2">
        <v>3899.13</v>
      </c>
      <c r="F626" s="2">
        <v>21600</v>
      </c>
      <c r="G626" s="2">
        <v>3919.27</v>
      </c>
      <c r="H626" s="2">
        <v>5892.69</v>
      </c>
      <c r="I626" s="2">
        <v>250</v>
      </c>
      <c r="J626" s="2">
        <v>7839.0899999999992</v>
      </c>
      <c r="K626" s="2">
        <v>3899.13</v>
      </c>
      <c r="L626" s="2">
        <v>21600</v>
      </c>
      <c r="M626" s="2">
        <v>3919.27</v>
      </c>
      <c r="N626" s="2">
        <v>5892.69</v>
      </c>
      <c r="O626" s="2">
        <v>250</v>
      </c>
      <c r="P626" s="8">
        <v>5.6759400000000002E-2</v>
      </c>
      <c r="Q626" s="8">
        <v>1.7664299999999999</v>
      </c>
      <c r="R626" s="8">
        <v>0.116733</v>
      </c>
      <c r="S626" s="8">
        <f>Tabelle1[[#This Row],[corr_x]]/1000</f>
        <v>7.8390899999999997</v>
      </c>
      <c r="T626" s="8">
        <f>Tabelle1[[#This Row],[corr_y]]/1000</f>
        <v>3.89913</v>
      </c>
      <c r="U626" s="8">
        <f>Tabelle1[[#This Row],[corr_z]]/1000</f>
        <v>21.6</v>
      </c>
      <c r="V626" s="8">
        <f>Tabelle1[[#This Row],[corr_soma_x]]/1000</f>
        <v>3.91927</v>
      </c>
      <c r="W626" s="8">
        <f>Tabelle1[[#This Row],[corr_soma_y]]/1000</f>
        <v>5.89269</v>
      </c>
      <c r="X626" s="8">
        <f>Tabelle1[[#This Row],[corr_soma_z]]/1000</f>
        <v>0.25</v>
      </c>
    </row>
    <row r="627" spans="1:24" x14ac:dyDescent="0.35">
      <c r="A627" s="7" t="s">
        <v>16</v>
      </c>
      <c r="B627" s="7" t="s">
        <v>18</v>
      </c>
      <c r="C627" s="6">
        <v>97</v>
      </c>
      <c r="D627" s="2">
        <v>7580.41</v>
      </c>
      <c r="E627" s="2">
        <v>4078.07</v>
      </c>
      <c r="F627" s="2">
        <v>21900</v>
      </c>
      <c r="G627" s="2">
        <v>3919.27</v>
      </c>
      <c r="H627" s="2">
        <v>5892.69</v>
      </c>
      <c r="I627" s="2">
        <v>250</v>
      </c>
      <c r="J627" s="2">
        <v>7580.41</v>
      </c>
      <c r="K627" s="2">
        <v>4078.07</v>
      </c>
      <c r="L627" s="2">
        <v>21900</v>
      </c>
      <c r="M627" s="2">
        <v>3919.27</v>
      </c>
      <c r="N627" s="2">
        <v>5892.69</v>
      </c>
      <c r="O627" s="2">
        <v>250</v>
      </c>
      <c r="P627" s="8">
        <v>1.0985099999999999E-2</v>
      </c>
      <c r="Q627" s="8">
        <v>1.2273499999999999</v>
      </c>
      <c r="R627" s="8">
        <v>9.1899300000000003E-2</v>
      </c>
      <c r="S627" s="8">
        <f>Tabelle1[[#This Row],[corr_x]]/1000</f>
        <v>7.5804099999999996</v>
      </c>
      <c r="T627" s="8">
        <f>Tabelle1[[#This Row],[corr_y]]/1000</f>
        <v>4.0780700000000003</v>
      </c>
      <c r="U627" s="8">
        <f>Tabelle1[[#This Row],[corr_z]]/1000</f>
        <v>21.9</v>
      </c>
      <c r="V627" s="8">
        <f>Tabelle1[[#This Row],[corr_soma_x]]/1000</f>
        <v>3.91927</v>
      </c>
      <c r="W627" s="8">
        <f>Tabelle1[[#This Row],[corr_soma_y]]/1000</f>
        <v>5.89269</v>
      </c>
      <c r="X627" s="8">
        <f>Tabelle1[[#This Row],[corr_soma_z]]/1000</f>
        <v>0.25</v>
      </c>
    </row>
    <row r="628" spans="1:24" x14ac:dyDescent="0.35">
      <c r="A628" s="7" t="s">
        <v>16</v>
      </c>
      <c r="B628" s="7" t="s">
        <v>18</v>
      </c>
      <c r="C628" s="6">
        <v>98</v>
      </c>
      <c r="D628" s="2">
        <v>7673.5300000000007</v>
      </c>
      <c r="E628" s="2">
        <v>4542.29</v>
      </c>
      <c r="F628" s="2">
        <v>22150</v>
      </c>
      <c r="G628" s="2">
        <v>3919.27</v>
      </c>
      <c r="H628" s="2">
        <v>5892.69</v>
      </c>
      <c r="I628" s="2">
        <v>250</v>
      </c>
      <c r="J628" s="2">
        <v>7673.5300000000007</v>
      </c>
      <c r="K628" s="2">
        <v>4542.29</v>
      </c>
      <c r="L628" s="2">
        <v>22150</v>
      </c>
      <c r="M628" s="2">
        <v>3919.27</v>
      </c>
      <c r="N628" s="2">
        <v>5892.69</v>
      </c>
      <c r="O628" s="2">
        <v>250</v>
      </c>
      <c r="P628" s="8">
        <v>4.7546400000000003E-2</v>
      </c>
      <c r="Q628" s="8">
        <v>2.1619100000000002</v>
      </c>
      <c r="R628" s="8">
        <v>9.5420599999999994E-2</v>
      </c>
      <c r="S628" s="8">
        <f>Tabelle1[[#This Row],[corr_x]]/1000</f>
        <v>7.6735300000000004</v>
      </c>
      <c r="T628" s="8">
        <f>Tabelle1[[#This Row],[corr_y]]/1000</f>
        <v>4.5422900000000004</v>
      </c>
      <c r="U628" s="8">
        <f>Tabelle1[[#This Row],[corr_z]]/1000</f>
        <v>22.15</v>
      </c>
      <c r="V628" s="8">
        <f>Tabelle1[[#This Row],[corr_soma_x]]/1000</f>
        <v>3.91927</v>
      </c>
      <c r="W628" s="8">
        <f>Tabelle1[[#This Row],[corr_soma_y]]/1000</f>
        <v>5.89269</v>
      </c>
      <c r="X628" s="8">
        <f>Tabelle1[[#This Row],[corr_soma_z]]/1000</f>
        <v>0.25</v>
      </c>
    </row>
    <row r="629" spans="1:24" x14ac:dyDescent="0.35">
      <c r="A629" s="7" t="s">
        <v>16</v>
      </c>
      <c r="B629" s="7" t="s">
        <v>18</v>
      </c>
      <c r="C629" s="6">
        <v>99</v>
      </c>
      <c r="D629" s="2">
        <v>7764.74</v>
      </c>
      <c r="E629" s="2">
        <v>4030.0099999999998</v>
      </c>
      <c r="F629" s="2">
        <v>22050</v>
      </c>
      <c r="G629" s="2">
        <v>3919.27</v>
      </c>
      <c r="H629" s="2">
        <v>5892.69</v>
      </c>
      <c r="I629" s="2">
        <v>250</v>
      </c>
      <c r="J629" s="2">
        <v>7764.74</v>
      </c>
      <c r="K629" s="2">
        <v>4030.0099999999998</v>
      </c>
      <c r="L629" s="2">
        <v>22050</v>
      </c>
      <c r="M629" s="2">
        <v>3919.27</v>
      </c>
      <c r="N629" s="2">
        <v>5892.69</v>
      </c>
      <c r="O629" s="2">
        <v>250</v>
      </c>
      <c r="P629" s="8">
        <v>3.8423100000000002E-2</v>
      </c>
      <c r="Q629" s="8">
        <v>1.11473</v>
      </c>
      <c r="R629" s="8">
        <v>4.9069000000000002E-2</v>
      </c>
      <c r="S629" s="8">
        <f>Tabelle1[[#This Row],[corr_x]]/1000</f>
        <v>7.7647399999999998</v>
      </c>
      <c r="T629" s="8">
        <f>Tabelle1[[#This Row],[corr_y]]/1000</f>
        <v>4.0300099999999999</v>
      </c>
      <c r="U629" s="8">
        <f>Tabelle1[[#This Row],[corr_z]]/1000</f>
        <v>22.05</v>
      </c>
      <c r="V629" s="8">
        <f>Tabelle1[[#This Row],[corr_soma_x]]/1000</f>
        <v>3.91927</v>
      </c>
      <c r="W629" s="8">
        <f>Tabelle1[[#This Row],[corr_soma_y]]/1000</f>
        <v>5.89269</v>
      </c>
      <c r="X629" s="8">
        <f>Tabelle1[[#This Row],[corr_soma_z]]/1000</f>
        <v>0.25</v>
      </c>
    </row>
    <row r="630" spans="1:24" x14ac:dyDescent="0.35">
      <c r="A630" s="7" t="s">
        <v>16</v>
      </c>
      <c r="B630" s="7" t="s">
        <v>18</v>
      </c>
      <c r="C630" s="6">
        <v>100</v>
      </c>
      <c r="D630" s="2">
        <v>7707.33</v>
      </c>
      <c r="E630" s="2">
        <v>4250.79</v>
      </c>
      <c r="F630" s="2">
        <v>22500</v>
      </c>
      <c r="G630" s="2">
        <v>3919.27</v>
      </c>
      <c r="H630" s="2">
        <v>5892.69</v>
      </c>
      <c r="I630" s="2">
        <v>250</v>
      </c>
      <c r="J630" s="2">
        <v>7707.33</v>
      </c>
      <c r="K630" s="2">
        <v>4250.79</v>
      </c>
      <c r="L630" s="2">
        <v>22500</v>
      </c>
      <c r="M630" s="2">
        <v>3919.27</v>
      </c>
      <c r="N630" s="2">
        <v>5892.69</v>
      </c>
      <c r="O630" s="2">
        <v>250</v>
      </c>
      <c r="P630" s="8">
        <v>5.7630800000000003E-2</v>
      </c>
      <c r="Q630" s="8">
        <v>1.65323</v>
      </c>
      <c r="R630" s="8">
        <v>0.13345099999999999</v>
      </c>
      <c r="S630" s="8">
        <f>Tabelle1[[#This Row],[corr_x]]/1000</f>
        <v>7.7073299999999998</v>
      </c>
      <c r="T630" s="8">
        <f>Tabelle1[[#This Row],[corr_y]]/1000</f>
        <v>4.2507900000000003</v>
      </c>
      <c r="U630" s="8">
        <f>Tabelle1[[#This Row],[corr_z]]/1000</f>
        <v>22.5</v>
      </c>
      <c r="V630" s="8">
        <f>Tabelle1[[#This Row],[corr_soma_x]]/1000</f>
        <v>3.91927</v>
      </c>
      <c r="W630" s="8">
        <f>Tabelle1[[#This Row],[corr_soma_y]]/1000</f>
        <v>5.89269</v>
      </c>
      <c r="X630" s="8">
        <f>Tabelle1[[#This Row],[corr_soma_z]]/1000</f>
        <v>0.25</v>
      </c>
    </row>
    <row r="631" spans="1:24" x14ac:dyDescent="0.35">
      <c r="A631" s="7" t="s">
        <v>16</v>
      </c>
      <c r="B631" s="7" t="s">
        <v>18</v>
      </c>
      <c r="C631" s="6">
        <v>101</v>
      </c>
      <c r="D631" s="2">
        <v>8037.590000000002</v>
      </c>
      <c r="E631" s="2">
        <v>4235.68</v>
      </c>
      <c r="F631" s="2">
        <v>22475</v>
      </c>
      <c r="G631" s="2">
        <v>3919.27</v>
      </c>
      <c r="H631" s="2">
        <v>5892.69</v>
      </c>
      <c r="I631" s="2">
        <v>250</v>
      </c>
      <c r="J631" s="2">
        <v>8037.590000000002</v>
      </c>
      <c r="K631" s="2">
        <v>4235.68</v>
      </c>
      <c r="L631" s="2">
        <v>22475</v>
      </c>
      <c r="M631" s="2">
        <v>3919.27</v>
      </c>
      <c r="N631" s="2">
        <v>5892.69</v>
      </c>
      <c r="O631" s="2">
        <v>250</v>
      </c>
      <c r="P631" s="8">
        <v>8.93848E-2</v>
      </c>
      <c r="Q631" s="8">
        <v>4.1378399999999997</v>
      </c>
      <c r="R631" s="8">
        <v>0.43500800000000001</v>
      </c>
      <c r="S631" s="8">
        <f>Tabelle1[[#This Row],[corr_x]]/1000</f>
        <v>8.0375900000000016</v>
      </c>
      <c r="T631" s="8">
        <f>Tabelle1[[#This Row],[corr_y]]/1000</f>
        <v>4.2356800000000003</v>
      </c>
      <c r="U631" s="8">
        <f>Tabelle1[[#This Row],[corr_z]]/1000</f>
        <v>22.475000000000001</v>
      </c>
      <c r="V631" s="8">
        <f>Tabelle1[[#This Row],[corr_soma_x]]/1000</f>
        <v>3.91927</v>
      </c>
      <c r="W631" s="8">
        <f>Tabelle1[[#This Row],[corr_soma_y]]/1000</f>
        <v>5.89269</v>
      </c>
      <c r="X631" s="8">
        <f>Tabelle1[[#This Row],[corr_soma_z]]/1000</f>
        <v>0.25</v>
      </c>
    </row>
    <row r="632" spans="1:24" x14ac:dyDescent="0.35">
      <c r="A632" s="7" t="s">
        <v>16</v>
      </c>
      <c r="B632" s="7" t="s">
        <v>18</v>
      </c>
      <c r="C632" s="6">
        <v>102</v>
      </c>
      <c r="D632" s="2">
        <v>7741.34</v>
      </c>
      <c r="E632" s="2">
        <v>4646.03</v>
      </c>
      <c r="F632" s="2">
        <v>22525</v>
      </c>
      <c r="G632" s="2">
        <v>3919.27</v>
      </c>
      <c r="H632" s="2">
        <v>5892.69</v>
      </c>
      <c r="I632" s="2">
        <v>250</v>
      </c>
      <c r="J632" s="2">
        <v>7741.34</v>
      </c>
      <c r="K632" s="2">
        <v>4646.03</v>
      </c>
      <c r="L632" s="2">
        <v>22525</v>
      </c>
      <c r="M632" s="2">
        <v>3919.27</v>
      </c>
      <c r="N632" s="2">
        <v>5892.69</v>
      </c>
      <c r="O632" s="2">
        <v>250</v>
      </c>
      <c r="P632" s="8">
        <v>5.7553300000000002E-2</v>
      </c>
      <c r="Q632" s="8">
        <v>1.2095400000000001</v>
      </c>
      <c r="R632" s="8">
        <v>4.3530699999999999E-2</v>
      </c>
      <c r="S632" s="8">
        <f>Tabelle1[[#This Row],[corr_x]]/1000</f>
        <v>7.7413400000000001</v>
      </c>
      <c r="T632" s="8">
        <f>Tabelle1[[#This Row],[corr_y]]/1000</f>
        <v>4.6460299999999997</v>
      </c>
      <c r="U632" s="8">
        <f>Tabelle1[[#This Row],[corr_z]]/1000</f>
        <v>22.524999999999999</v>
      </c>
      <c r="V632" s="8">
        <f>Tabelle1[[#This Row],[corr_soma_x]]/1000</f>
        <v>3.91927</v>
      </c>
      <c r="W632" s="8">
        <f>Tabelle1[[#This Row],[corr_soma_y]]/1000</f>
        <v>5.89269</v>
      </c>
      <c r="X632" s="8">
        <f>Tabelle1[[#This Row],[corr_soma_z]]/1000</f>
        <v>0.25</v>
      </c>
    </row>
    <row r="633" spans="1:24" x14ac:dyDescent="0.35">
      <c r="A633" s="7" t="s">
        <v>16</v>
      </c>
      <c r="B633" s="7" t="s">
        <v>18</v>
      </c>
      <c r="C633" s="6">
        <v>103</v>
      </c>
      <c r="D633" s="2">
        <v>7737.665</v>
      </c>
      <c r="E633" s="2">
        <v>4580.7350000000006</v>
      </c>
      <c r="F633" s="2">
        <v>22825.000000000004</v>
      </c>
      <c r="G633" s="2">
        <v>3919.27</v>
      </c>
      <c r="H633" s="2">
        <v>5892.69</v>
      </c>
      <c r="I633" s="2">
        <v>250</v>
      </c>
      <c r="J633" s="2">
        <v>7737.665</v>
      </c>
      <c r="K633" s="2">
        <v>4580.7350000000006</v>
      </c>
      <c r="L633" s="2">
        <v>22825.000000000004</v>
      </c>
      <c r="M633" s="2">
        <v>3919.27</v>
      </c>
      <c r="N633" s="2">
        <v>5892.69</v>
      </c>
      <c r="O633" s="2">
        <v>250</v>
      </c>
      <c r="P633" s="8">
        <v>3.9510200000000002E-2</v>
      </c>
      <c r="Q633" s="8">
        <v>1.0126599999999999</v>
      </c>
      <c r="R633" s="8">
        <v>4.3840900000000002E-2</v>
      </c>
      <c r="S633" s="8">
        <f>Tabelle1[[#This Row],[corr_x]]/1000</f>
        <v>7.7376649999999998</v>
      </c>
      <c r="T633" s="8">
        <f>Tabelle1[[#This Row],[corr_y]]/1000</f>
        <v>4.5807350000000007</v>
      </c>
      <c r="U633" s="8">
        <f>Tabelle1[[#This Row],[corr_z]]/1000</f>
        <v>22.825000000000003</v>
      </c>
      <c r="V633" s="8">
        <f>Tabelle1[[#This Row],[corr_soma_x]]/1000</f>
        <v>3.91927</v>
      </c>
      <c r="W633" s="8">
        <f>Tabelle1[[#This Row],[corr_soma_y]]/1000</f>
        <v>5.89269</v>
      </c>
      <c r="X633" s="8">
        <f>Tabelle1[[#This Row],[corr_soma_z]]/1000</f>
        <v>0.25</v>
      </c>
    </row>
    <row r="634" spans="1:24" x14ac:dyDescent="0.35">
      <c r="A634" s="7" t="s">
        <v>16</v>
      </c>
      <c r="B634" s="7" t="s">
        <v>18</v>
      </c>
      <c r="C634" s="6">
        <v>104</v>
      </c>
      <c r="D634" s="2">
        <v>8454.2749999999996</v>
      </c>
      <c r="E634" s="2">
        <v>4693.2</v>
      </c>
      <c r="F634" s="2">
        <v>23174.999999999996</v>
      </c>
      <c r="G634" s="2">
        <v>3919.27</v>
      </c>
      <c r="H634" s="2">
        <v>5892.69</v>
      </c>
      <c r="I634" s="2">
        <v>250</v>
      </c>
      <c r="J634" s="2">
        <v>8454.2749999999996</v>
      </c>
      <c r="K634" s="2">
        <v>4693.2</v>
      </c>
      <c r="L634" s="2">
        <v>23174.999999999996</v>
      </c>
      <c r="M634" s="2">
        <v>3919.27</v>
      </c>
      <c r="N634" s="2">
        <v>5892.69</v>
      </c>
      <c r="O634" s="2">
        <v>250</v>
      </c>
      <c r="P634" s="8">
        <v>3.07376E-2</v>
      </c>
      <c r="Q634" s="8">
        <v>2.2736800000000001</v>
      </c>
      <c r="R634" s="8">
        <v>0.26910099999999998</v>
      </c>
      <c r="S634" s="8">
        <f>Tabelle1[[#This Row],[corr_x]]/1000</f>
        <v>8.4542749999999991</v>
      </c>
      <c r="T634" s="8">
        <f>Tabelle1[[#This Row],[corr_y]]/1000</f>
        <v>4.6932</v>
      </c>
      <c r="U634" s="8">
        <f>Tabelle1[[#This Row],[corr_z]]/1000</f>
        <v>23.174999999999997</v>
      </c>
      <c r="V634" s="8">
        <f>Tabelle1[[#This Row],[corr_soma_x]]/1000</f>
        <v>3.91927</v>
      </c>
      <c r="W634" s="8">
        <f>Tabelle1[[#This Row],[corr_soma_y]]/1000</f>
        <v>5.89269</v>
      </c>
      <c r="X634" s="8">
        <f>Tabelle1[[#This Row],[corr_soma_z]]/1000</f>
        <v>0.25</v>
      </c>
    </row>
    <row r="635" spans="1:24" x14ac:dyDescent="0.35">
      <c r="A635" s="7" t="s">
        <v>16</v>
      </c>
      <c r="B635" s="7" t="s">
        <v>19</v>
      </c>
      <c r="C635" s="6">
        <v>16</v>
      </c>
      <c r="D635" s="2">
        <v>7955.7449999999999</v>
      </c>
      <c r="E635" s="2">
        <v>4747.0600000000004</v>
      </c>
      <c r="F635" s="2">
        <v>23424.999999999996</v>
      </c>
      <c r="G635" s="2">
        <v>3919.27</v>
      </c>
      <c r="H635" s="2">
        <v>5892.69</v>
      </c>
      <c r="I635" s="2">
        <v>250</v>
      </c>
      <c r="J635" s="2">
        <v>7955.7449999999999</v>
      </c>
      <c r="K635" s="2">
        <v>4747.0600000000004</v>
      </c>
      <c r="L635" s="2">
        <v>23424.999999999996</v>
      </c>
      <c r="M635" s="2">
        <v>3919.27</v>
      </c>
      <c r="N635" s="2">
        <v>5892.69</v>
      </c>
      <c r="O635" s="2">
        <v>250</v>
      </c>
      <c r="P635" s="8">
        <v>9.2846600000000001E-2</v>
      </c>
      <c r="Q635" s="8">
        <v>3.2118899999999999</v>
      </c>
      <c r="R635" s="8">
        <v>0.33201700000000001</v>
      </c>
      <c r="S635" s="8">
        <f>Tabelle1[[#This Row],[corr_x]]/1000</f>
        <v>7.9557450000000003</v>
      </c>
      <c r="T635" s="8">
        <f>Tabelle1[[#This Row],[corr_y]]/1000</f>
        <v>4.7470600000000003</v>
      </c>
      <c r="U635" s="8">
        <f>Tabelle1[[#This Row],[corr_z]]/1000</f>
        <v>23.424999999999997</v>
      </c>
      <c r="V635" s="8">
        <f>Tabelle1[[#This Row],[corr_soma_x]]/1000</f>
        <v>3.91927</v>
      </c>
      <c r="W635" s="8">
        <f>Tabelle1[[#This Row],[corr_soma_y]]/1000</f>
        <v>5.89269</v>
      </c>
      <c r="X635" s="8">
        <f>Tabelle1[[#This Row],[corr_soma_z]]/1000</f>
        <v>0.25</v>
      </c>
    </row>
    <row r="636" spans="1:24" x14ac:dyDescent="0.35">
      <c r="A636" s="7" t="s">
        <v>16</v>
      </c>
      <c r="B636" s="7" t="s">
        <v>18</v>
      </c>
      <c r="C636" s="6">
        <v>105</v>
      </c>
      <c r="D636" s="2">
        <v>8572.8850000000002</v>
      </c>
      <c r="E636" s="2">
        <v>4868.7199999999993</v>
      </c>
      <c r="F636" s="2">
        <v>23775</v>
      </c>
      <c r="G636" s="2">
        <v>3919.27</v>
      </c>
      <c r="H636" s="2">
        <v>5892.69</v>
      </c>
      <c r="I636" s="2">
        <v>250</v>
      </c>
      <c r="J636" s="2">
        <v>8572.8850000000002</v>
      </c>
      <c r="K636" s="2">
        <v>4868.7199999999993</v>
      </c>
      <c r="L636" s="2">
        <v>23775</v>
      </c>
      <c r="M636" s="2">
        <v>3919.27</v>
      </c>
      <c r="N636" s="2">
        <v>5892.69</v>
      </c>
      <c r="O636" s="2">
        <v>250</v>
      </c>
      <c r="P636" s="8">
        <v>2.8762200000000002E-2</v>
      </c>
      <c r="Q636" s="8">
        <v>2.4245700000000001</v>
      </c>
      <c r="R636" s="8">
        <v>0.19498499999999999</v>
      </c>
      <c r="S636" s="8">
        <f>Tabelle1[[#This Row],[corr_x]]/1000</f>
        <v>8.5728849999999994</v>
      </c>
      <c r="T636" s="8">
        <f>Tabelle1[[#This Row],[corr_y]]/1000</f>
        <v>4.8687199999999997</v>
      </c>
      <c r="U636" s="8">
        <f>Tabelle1[[#This Row],[corr_z]]/1000</f>
        <v>23.774999999999999</v>
      </c>
      <c r="V636" s="8">
        <f>Tabelle1[[#This Row],[corr_soma_x]]/1000</f>
        <v>3.91927</v>
      </c>
      <c r="W636" s="8">
        <f>Tabelle1[[#This Row],[corr_soma_y]]/1000</f>
        <v>5.89269</v>
      </c>
      <c r="X636" s="8">
        <f>Tabelle1[[#This Row],[corr_soma_z]]/1000</f>
        <v>0.25</v>
      </c>
    </row>
    <row r="637" spans="1:24" x14ac:dyDescent="0.35">
      <c r="A637" s="7" t="s">
        <v>16</v>
      </c>
      <c r="B637" s="7" t="s">
        <v>18</v>
      </c>
      <c r="C637" s="6">
        <v>106</v>
      </c>
      <c r="D637" s="2">
        <v>8138.99</v>
      </c>
      <c r="E637" s="2">
        <v>4401.28</v>
      </c>
      <c r="F637" s="2">
        <v>23525</v>
      </c>
      <c r="G637" s="2">
        <v>3919.27</v>
      </c>
      <c r="H637" s="2">
        <v>5892.69</v>
      </c>
      <c r="I637" s="2">
        <v>250</v>
      </c>
      <c r="J637" s="2">
        <v>8138.99</v>
      </c>
      <c r="K637" s="2">
        <v>4401.28</v>
      </c>
      <c r="L637" s="2">
        <v>23525</v>
      </c>
      <c r="M637" s="2">
        <v>3919.27</v>
      </c>
      <c r="N637" s="2">
        <v>5892.69</v>
      </c>
      <c r="O637" s="2">
        <v>250</v>
      </c>
      <c r="P637" s="8">
        <v>6.8536700000000006E-2</v>
      </c>
      <c r="Q637" s="8">
        <v>1.2865200000000001</v>
      </c>
      <c r="R637" s="8">
        <v>6.3661700000000002E-2</v>
      </c>
      <c r="S637" s="8">
        <f>Tabelle1[[#This Row],[corr_x]]/1000</f>
        <v>8.1389899999999997</v>
      </c>
      <c r="T637" s="8">
        <f>Tabelle1[[#This Row],[corr_y]]/1000</f>
        <v>4.4012799999999999</v>
      </c>
      <c r="U637" s="8">
        <f>Tabelle1[[#This Row],[corr_z]]/1000</f>
        <v>23.524999999999999</v>
      </c>
      <c r="V637" s="8">
        <f>Tabelle1[[#This Row],[corr_soma_x]]/1000</f>
        <v>3.91927</v>
      </c>
      <c r="W637" s="8">
        <f>Tabelle1[[#This Row],[corr_soma_y]]/1000</f>
        <v>5.89269</v>
      </c>
      <c r="X637" s="8">
        <f>Tabelle1[[#This Row],[corr_soma_z]]/1000</f>
        <v>0.25</v>
      </c>
    </row>
    <row r="638" spans="1:24" x14ac:dyDescent="0.35">
      <c r="A638" s="7" t="s">
        <v>16</v>
      </c>
      <c r="B638" s="7" t="s">
        <v>18</v>
      </c>
      <c r="C638" s="6">
        <v>107</v>
      </c>
      <c r="D638" s="2">
        <v>7966.46</v>
      </c>
      <c r="E638" s="2">
        <v>4407.5300000000007</v>
      </c>
      <c r="F638" s="2">
        <v>23350</v>
      </c>
      <c r="G638" s="2">
        <v>3919.27</v>
      </c>
      <c r="H638" s="2">
        <v>5892.69</v>
      </c>
      <c r="I638" s="2">
        <v>250</v>
      </c>
      <c r="J638" s="2">
        <v>7966.46</v>
      </c>
      <c r="K638" s="2">
        <v>4407.5300000000007</v>
      </c>
      <c r="L638" s="2">
        <v>23350</v>
      </c>
      <c r="M638" s="2">
        <v>3919.27</v>
      </c>
      <c r="N638" s="2">
        <v>5892.69</v>
      </c>
      <c r="O638" s="2">
        <v>250</v>
      </c>
      <c r="P638" s="8">
        <v>4.7023299999999997E-2</v>
      </c>
      <c r="Q638" s="8">
        <v>2.0398999999999998</v>
      </c>
      <c r="R638" s="8">
        <v>0.12619</v>
      </c>
      <c r="S638" s="8">
        <f>Tabelle1[[#This Row],[corr_x]]/1000</f>
        <v>7.9664599999999997</v>
      </c>
      <c r="T638" s="8">
        <f>Tabelle1[[#This Row],[corr_y]]/1000</f>
        <v>4.4075300000000004</v>
      </c>
      <c r="U638" s="8">
        <f>Tabelle1[[#This Row],[corr_z]]/1000</f>
        <v>23.35</v>
      </c>
      <c r="V638" s="8">
        <f>Tabelle1[[#This Row],[corr_soma_x]]/1000</f>
        <v>3.91927</v>
      </c>
      <c r="W638" s="8">
        <f>Tabelle1[[#This Row],[corr_soma_y]]/1000</f>
        <v>5.89269</v>
      </c>
      <c r="X638" s="8">
        <f>Tabelle1[[#This Row],[corr_soma_z]]/1000</f>
        <v>0.25</v>
      </c>
    </row>
    <row r="639" spans="1:24" x14ac:dyDescent="0.35">
      <c r="A639" s="7" t="s">
        <v>16</v>
      </c>
      <c r="B639" s="7" t="s">
        <v>18</v>
      </c>
      <c r="C639" s="6">
        <v>108</v>
      </c>
      <c r="D639" s="2">
        <v>8256.9</v>
      </c>
      <c r="E639" s="2">
        <v>4372.4100000000008</v>
      </c>
      <c r="F639" s="2">
        <v>23900</v>
      </c>
      <c r="G639" s="2">
        <v>3919.27</v>
      </c>
      <c r="H639" s="2">
        <v>5892.69</v>
      </c>
      <c r="I639" s="2">
        <v>250</v>
      </c>
      <c r="J639" s="2">
        <v>8256.9</v>
      </c>
      <c r="K639" s="2">
        <v>4372.4100000000008</v>
      </c>
      <c r="L639" s="2">
        <v>23900</v>
      </c>
      <c r="M639" s="2">
        <v>3919.27</v>
      </c>
      <c r="N639" s="2">
        <v>5892.69</v>
      </c>
      <c r="O639" s="2">
        <v>250</v>
      </c>
      <c r="P639" s="8">
        <v>2.2555499999999999E-2</v>
      </c>
      <c r="Q639" s="8">
        <v>1.62225</v>
      </c>
      <c r="R639" s="8">
        <v>5.4471800000000001E-2</v>
      </c>
      <c r="S639" s="8">
        <f>Tabelle1[[#This Row],[corr_x]]/1000</f>
        <v>8.2568999999999999</v>
      </c>
      <c r="T639" s="8">
        <f>Tabelle1[[#This Row],[corr_y]]/1000</f>
        <v>4.3724100000000004</v>
      </c>
      <c r="U639" s="8">
        <f>Tabelle1[[#This Row],[corr_z]]/1000</f>
        <v>23.9</v>
      </c>
      <c r="V639" s="8">
        <f>Tabelle1[[#This Row],[corr_soma_x]]/1000</f>
        <v>3.91927</v>
      </c>
      <c r="W639" s="8">
        <f>Tabelle1[[#This Row],[corr_soma_y]]/1000</f>
        <v>5.89269</v>
      </c>
      <c r="X639" s="8">
        <f>Tabelle1[[#This Row],[corr_soma_z]]/1000</f>
        <v>0.25</v>
      </c>
    </row>
    <row r="640" spans="1:24" x14ac:dyDescent="0.35">
      <c r="A640" s="7" t="s">
        <v>16</v>
      </c>
      <c r="B640" s="7" t="s">
        <v>18</v>
      </c>
      <c r="C640" s="6">
        <v>109</v>
      </c>
      <c r="D640" s="2">
        <v>8403.2999999999993</v>
      </c>
      <c r="E640" s="2">
        <v>4642.46</v>
      </c>
      <c r="F640" s="2">
        <v>24250</v>
      </c>
      <c r="G640" s="2">
        <v>3919.27</v>
      </c>
      <c r="H640" s="2">
        <v>5892.69</v>
      </c>
      <c r="I640" s="2">
        <v>250</v>
      </c>
      <c r="J640" s="2">
        <v>8403.2999999999993</v>
      </c>
      <c r="K640" s="2">
        <v>4642.46</v>
      </c>
      <c r="L640" s="2">
        <v>24250</v>
      </c>
      <c r="M640" s="2">
        <v>3919.27</v>
      </c>
      <c r="N640" s="2">
        <v>5892.69</v>
      </c>
      <c r="O640" s="2">
        <v>250</v>
      </c>
      <c r="P640" s="8">
        <v>6.2462700000000003E-2</v>
      </c>
      <c r="Q640" s="8">
        <v>2.3795899999999999</v>
      </c>
      <c r="R640" s="8">
        <v>0.241841</v>
      </c>
      <c r="S640" s="8">
        <f>Tabelle1[[#This Row],[corr_x]]/1000</f>
        <v>8.4032999999999998</v>
      </c>
      <c r="T640" s="8">
        <f>Tabelle1[[#This Row],[corr_y]]/1000</f>
        <v>4.6424599999999998</v>
      </c>
      <c r="U640" s="8">
        <f>Tabelle1[[#This Row],[corr_z]]/1000</f>
        <v>24.25</v>
      </c>
      <c r="V640" s="8">
        <f>Tabelle1[[#This Row],[corr_soma_x]]/1000</f>
        <v>3.91927</v>
      </c>
      <c r="W640" s="8">
        <f>Tabelle1[[#This Row],[corr_soma_y]]/1000</f>
        <v>5.89269</v>
      </c>
      <c r="X640" s="8">
        <f>Tabelle1[[#This Row],[corr_soma_z]]/1000</f>
        <v>0.25</v>
      </c>
    </row>
    <row r="641" spans="1:24" x14ac:dyDescent="0.35">
      <c r="A641" s="7" t="s">
        <v>16</v>
      </c>
      <c r="B641" s="7" t="s">
        <v>18</v>
      </c>
      <c r="C641" s="6">
        <v>110</v>
      </c>
      <c r="D641" s="2">
        <v>8376.68</v>
      </c>
      <c r="E641" s="2">
        <v>5084.09</v>
      </c>
      <c r="F641" s="2">
        <v>24300</v>
      </c>
      <c r="G641" s="2">
        <v>3919.27</v>
      </c>
      <c r="H641" s="2">
        <v>5892.69</v>
      </c>
      <c r="I641" s="2">
        <v>250</v>
      </c>
      <c r="J641" s="2">
        <v>8376.68</v>
      </c>
      <c r="K641" s="2">
        <v>5084.09</v>
      </c>
      <c r="L641" s="2">
        <v>24300</v>
      </c>
      <c r="M641" s="2">
        <v>3919.27</v>
      </c>
      <c r="N641" s="2">
        <v>5892.69</v>
      </c>
      <c r="O641" s="2">
        <v>250</v>
      </c>
      <c r="P641" s="8">
        <v>4.9341200000000002E-2</v>
      </c>
      <c r="Q641" s="8">
        <v>1.39063</v>
      </c>
      <c r="R641" s="8">
        <v>6.6219799999999995E-2</v>
      </c>
      <c r="S641" s="8">
        <f>Tabelle1[[#This Row],[corr_x]]/1000</f>
        <v>8.3766800000000003</v>
      </c>
      <c r="T641" s="8">
        <f>Tabelle1[[#This Row],[corr_y]]/1000</f>
        <v>5.0840899999999998</v>
      </c>
      <c r="U641" s="8">
        <f>Tabelle1[[#This Row],[corr_z]]/1000</f>
        <v>24.3</v>
      </c>
      <c r="V641" s="8">
        <f>Tabelle1[[#This Row],[corr_soma_x]]/1000</f>
        <v>3.91927</v>
      </c>
      <c r="W641" s="8">
        <f>Tabelle1[[#This Row],[corr_soma_y]]/1000</f>
        <v>5.89269</v>
      </c>
      <c r="X641" s="8">
        <f>Tabelle1[[#This Row],[corr_soma_z]]/1000</f>
        <v>0.25</v>
      </c>
    </row>
    <row r="642" spans="1:24" x14ac:dyDescent="0.35">
      <c r="A642" s="7" t="s">
        <v>16</v>
      </c>
      <c r="B642" s="7" t="s">
        <v>18</v>
      </c>
      <c r="C642" s="6">
        <v>111</v>
      </c>
      <c r="D642" s="2">
        <v>8231.6700000000019</v>
      </c>
      <c r="E642" s="2">
        <v>5115.4100000000008</v>
      </c>
      <c r="F642" s="2">
        <v>24275</v>
      </c>
      <c r="G642" s="2">
        <v>3919.27</v>
      </c>
      <c r="H642" s="2">
        <v>5892.69</v>
      </c>
      <c r="I642" s="2">
        <v>250</v>
      </c>
      <c r="J642" s="2">
        <v>8231.6700000000019</v>
      </c>
      <c r="K642" s="2">
        <v>5115.4100000000008</v>
      </c>
      <c r="L642" s="2">
        <v>24275</v>
      </c>
      <c r="M642" s="2">
        <v>3919.27</v>
      </c>
      <c r="N642" s="2">
        <v>5892.69</v>
      </c>
      <c r="O642" s="2">
        <v>250</v>
      </c>
      <c r="P642" s="8">
        <v>3.1931599999999997E-2</v>
      </c>
      <c r="Q642" s="8">
        <v>1.06308</v>
      </c>
      <c r="R642" s="8">
        <v>3.84631E-2</v>
      </c>
      <c r="S642" s="8">
        <f>Tabelle1[[#This Row],[corr_x]]/1000</f>
        <v>8.2316700000000012</v>
      </c>
      <c r="T642" s="8">
        <f>Tabelle1[[#This Row],[corr_y]]/1000</f>
        <v>5.1154100000000007</v>
      </c>
      <c r="U642" s="8">
        <f>Tabelle1[[#This Row],[corr_z]]/1000</f>
        <v>24.274999999999999</v>
      </c>
      <c r="V642" s="8">
        <f>Tabelle1[[#This Row],[corr_soma_x]]/1000</f>
        <v>3.91927</v>
      </c>
      <c r="W642" s="8">
        <f>Tabelle1[[#This Row],[corr_soma_y]]/1000</f>
        <v>5.89269</v>
      </c>
      <c r="X642" s="8">
        <f>Tabelle1[[#This Row],[corr_soma_z]]/1000</f>
        <v>0.25</v>
      </c>
    </row>
    <row r="643" spans="1:24" x14ac:dyDescent="0.35">
      <c r="A643" s="7" t="s">
        <v>16</v>
      </c>
      <c r="B643" s="7" t="s">
        <v>18</v>
      </c>
      <c r="C643" s="6">
        <v>112</v>
      </c>
      <c r="D643" s="2">
        <v>8031.6499999999987</v>
      </c>
      <c r="E643" s="2">
        <v>4894.3999999999996</v>
      </c>
      <c r="F643" s="2">
        <v>24424.999999999996</v>
      </c>
      <c r="G643" s="2">
        <v>3919.27</v>
      </c>
      <c r="H643" s="2">
        <v>5892.69</v>
      </c>
      <c r="I643" s="2">
        <v>250</v>
      </c>
      <c r="J643" s="2">
        <v>8031.6499999999987</v>
      </c>
      <c r="K643" s="2">
        <v>4894.3999999999996</v>
      </c>
      <c r="L643" s="2">
        <v>24424.999999999996</v>
      </c>
      <c r="M643" s="2">
        <v>3919.27</v>
      </c>
      <c r="N643" s="2">
        <v>5892.69</v>
      </c>
      <c r="O643" s="2">
        <v>250</v>
      </c>
      <c r="P643" s="8">
        <v>9.2890500000000001E-2</v>
      </c>
      <c r="Q643" s="8">
        <v>1.2842499999999999</v>
      </c>
      <c r="R643" s="8">
        <v>8.2869100000000001E-2</v>
      </c>
      <c r="S643" s="8">
        <f>Tabelle1[[#This Row],[corr_x]]/1000</f>
        <v>8.0316499999999991</v>
      </c>
      <c r="T643" s="8">
        <f>Tabelle1[[#This Row],[corr_y]]/1000</f>
        <v>4.8943999999999992</v>
      </c>
      <c r="U643" s="8">
        <f>Tabelle1[[#This Row],[corr_z]]/1000</f>
        <v>24.424999999999997</v>
      </c>
      <c r="V643" s="8">
        <f>Tabelle1[[#This Row],[corr_soma_x]]/1000</f>
        <v>3.91927</v>
      </c>
      <c r="W643" s="8">
        <f>Tabelle1[[#This Row],[corr_soma_y]]/1000</f>
        <v>5.89269</v>
      </c>
      <c r="X643" s="8">
        <f>Tabelle1[[#This Row],[corr_soma_z]]/1000</f>
        <v>0.25</v>
      </c>
    </row>
    <row r="644" spans="1:24" x14ac:dyDescent="0.35">
      <c r="A644" s="7" t="s">
        <v>16</v>
      </c>
      <c r="B644" s="7" t="s">
        <v>18</v>
      </c>
      <c r="C644" s="6">
        <v>113</v>
      </c>
      <c r="D644" s="2">
        <v>8154.97</v>
      </c>
      <c r="E644" s="2">
        <v>4900.83</v>
      </c>
      <c r="F644" s="2">
        <v>25125</v>
      </c>
      <c r="G644" s="2">
        <v>3919.27</v>
      </c>
      <c r="H644" s="2">
        <v>5892.69</v>
      </c>
      <c r="I644" s="2">
        <v>250</v>
      </c>
      <c r="J644" s="2">
        <v>8154.97</v>
      </c>
      <c r="K644" s="2">
        <v>4900.83</v>
      </c>
      <c r="L644" s="2">
        <v>25125</v>
      </c>
      <c r="M644" s="2">
        <v>3919.27</v>
      </c>
      <c r="N644" s="2">
        <v>5892.69</v>
      </c>
      <c r="O644" s="2">
        <v>250</v>
      </c>
      <c r="P644" s="8">
        <v>2.5681900000000001E-2</v>
      </c>
      <c r="Q644" s="8">
        <v>0.79422800000000005</v>
      </c>
      <c r="R644" s="8">
        <v>3.84959E-2</v>
      </c>
      <c r="S644" s="8">
        <f>Tabelle1[[#This Row],[corr_x]]/1000</f>
        <v>8.1549700000000005</v>
      </c>
      <c r="T644" s="8">
        <f>Tabelle1[[#This Row],[corr_y]]/1000</f>
        <v>4.90083</v>
      </c>
      <c r="U644" s="8">
        <f>Tabelle1[[#This Row],[corr_z]]/1000</f>
        <v>25.125</v>
      </c>
      <c r="V644" s="8">
        <f>Tabelle1[[#This Row],[corr_soma_x]]/1000</f>
        <v>3.91927</v>
      </c>
      <c r="W644" s="8">
        <f>Tabelle1[[#This Row],[corr_soma_y]]/1000</f>
        <v>5.89269</v>
      </c>
      <c r="X644" s="8">
        <f>Tabelle1[[#This Row],[corr_soma_z]]/1000</f>
        <v>0.25</v>
      </c>
    </row>
    <row r="645" spans="1:24" x14ac:dyDescent="0.35">
      <c r="A645" s="7" t="s">
        <v>16</v>
      </c>
      <c r="B645" s="7" t="s">
        <v>18</v>
      </c>
      <c r="C645" s="6">
        <v>114</v>
      </c>
      <c r="D645" s="2">
        <v>8307.48</v>
      </c>
      <c r="E645" s="2">
        <v>5340.57</v>
      </c>
      <c r="F645" s="2">
        <v>25600</v>
      </c>
      <c r="G645" s="2">
        <v>3919.27</v>
      </c>
      <c r="H645" s="2">
        <v>5892.69</v>
      </c>
      <c r="I645" s="2">
        <v>250</v>
      </c>
      <c r="J645" s="2">
        <v>8307.48</v>
      </c>
      <c r="K645" s="2">
        <v>5340.57</v>
      </c>
      <c r="L645" s="2">
        <v>25600</v>
      </c>
      <c r="M645" s="2">
        <v>3919.27</v>
      </c>
      <c r="N645" s="2">
        <v>5892.69</v>
      </c>
      <c r="O645" s="2">
        <v>250</v>
      </c>
      <c r="P645" s="8">
        <v>5.9198399999999998E-2</v>
      </c>
      <c r="Q645" s="8">
        <v>1.9132100000000001</v>
      </c>
      <c r="R645" s="8">
        <v>0.140542</v>
      </c>
      <c r="S645" s="8">
        <f>Tabelle1[[#This Row],[corr_x]]/1000</f>
        <v>8.30748</v>
      </c>
      <c r="T645" s="8">
        <f>Tabelle1[[#This Row],[corr_y]]/1000</f>
        <v>5.3405699999999996</v>
      </c>
      <c r="U645" s="8">
        <f>Tabelle1[[#This Row],[corr_z]]/1000</f>
        <v>25.6</v>
      </c>
      <c r="V645" s="8">
        <f>Tabelle1[[#This Row],[corr_soma_x]]/1000</f>
        <v>3.91927</v>
      </c>
      <c r="W645" s="8">
        <f>Tabelle1[[#This Row],[corr_soma_y]]/1000</f>
        <v>5.89269</v>
      </c>
      <c r="X645" s="8">
        <f>Tabelle1[[#This Row],[corr_soma_z]]/1000</f>
        <v>0.25</v>
      </c>
    </row>
    <row r="646" spans="1:24" x14ac:dyDescent="0.35">
      <c r="A646" s="7" t="s">
        <v>16</v>
      </c>
      <c r="B646" s="7" t="s">
        <v>18</v>
      </c>
      <c r="C646" s="6">
        <v>115</v>
      </c>
      <c r="D646" s="2">
        <v>8477.43</v>
      </c>
      <c r="E646" s="2">
        <v>5333.62</v>
      </c>
      <c r="F646" s="2">
        <v>25900</v>
      </c>
      <c r="G646" s="2">
        <v>3919.27</v>
      </c>
      <c r="H646" s="2">
        <v>5892.69</v>
      </c>
      <c r="I646" s="2">
        <v>250</v>
      </c>
      <c r="J646" s="2">
        <v>8477.43</v>
      </c>
      <c r="K646" s="2">
        <v>5333.62</v>
      </c>
      <c r="L646" s="2">
        <v>25900</v>
      </c>
      <c r="M646" s="2">
        <v>3919.27</v>
      </c>
      <c r="N646" s="2">
        <v>5892.69</v>
      </c>
      <c r="O646" s="2">
        <v>250</v>
      </c>
      <c r="P646" s="8">
        <v>4.9267600000000002E-2</v>
      </c>
      <c r="Q646" s="8">
        <v>0.690307</v>
      </c>
      <c r="R646" s="8">
        <v>2.4531899999999999E-2</v>
      </c>
      <c r="S646" s="8">
        <f>Tabelle1[[#This Row],[corr_x]]/1000</f>
        <v>8.47743</v>
      </c>
      <c r="T646" s="8">
        <f>Tabelle1[[#This Row],[corr_y]]/1000</f>
        <v>5.3336199999999998</v>
      </c>
      <c r="U646" s="8">
        <f>Tabelle1[[#This Row],[corr_z]]/1000</f>
        <v>25.9</v>
      </c>
      <c r="V646" s="8">
        <f>Tabelle1[[#This Row],[corr_soma_x]]/1000</f>
        <v>3.91927</v>
      </c>
      <c r="W646" s="8">
        <f>Tabelle1[[#This Row],[corr_soma_y]]/1000</f>
        <v>5.89269</v>
      </c>
      <c r="X646" s="8">
        <f>Tabelle1[[#This Row],[corr_soma_z]]/1000</f>
        <v>0.25</v>
      </c>
    </row>
    <row r="647" spans="1:24" x14ac:dyDescent="0.35">
      <c r="A647" s="7" t="s">
        <v>16</v>
      </c>
      <c r="B647" s="7" t="s">
        <v>18</v>
      </c>
      <c r="C647" s="6">
        <v>116</v>
      </c>
      <c r="D647" s="2">
        <v>8691.06</v>
      </c>
      <c r="E647" s="2">
        <v>5702.3200000000006</v>
      </c>
      <c r="F647" s="2">
        <v>26700</v>
      </c>
      <c r="G647" s="2">
        <v>3919.27</v>
      </c>
      <c r="H647" s="2">
        <v>5892.69</v>
      </c>
      <c r="I647" s="2">
        <v>250</v>
      </c>
      <c r="J647" s="2">
        <v>8691.06</v>
      </c>
      <c r="K647" s="2">
        <v>5702.3200000000006</v>
      </c>
      <c r="L647" s="2">
        <v>26700</v>
      </c>
      <c r="M647" s="2">
        <v>3919.27</v>
      </c>
      <c r="N647" s="2">
        <v>5892.69</v>
      </c>
      <c r="O647" s="2">
        <v>250</v>
      </c>
      <c r="P647" s="8">
        <v>5.49826E-2</v>
      </c>
      <c r="Q647" s="8">
        <v>1.0277400000000001</v>
      </c>
      <c r="R647" s="8">
        <v>5.8154699999999997E-2</v>
      </c>
      <c r="S647" s="8">
        <f>Tabelle1[[#This Row],[corr_x]]/1000</f>
        <v>8.6910600000000002</v>
      </c>
      <c r="T647" s="8">
        <f>Tabelle1[[#This Row],[corr_y]]/1000</f>
        <v>5.7023200000000003</v>
      </c>
      <c r="U647" s="8">
        <f>Tabelle1[[#This Row],[corr_z]]/1000</f>
        <v>26.7</v>
      </c>
      <c r="V647" s="8">
        <f>Tabelle1[[#This Row],[corr_soma_x]]/1000</f>
        <v>3.91927</v>
      </c>
      <c r="W647" s="8">
        <f>Tabelle1[[#This Row],[corr_soma_y]]/1000</f>
        <v>5.89269</v>
      </c>
      <c r="X647" s="8">
        <f>Tabelle1[[#This Row],[corr_soma_z]]/1000</f>
        <v>0.25</v>
      </c>
    </row>
    <row r="648" spans="1:24" x14ac:dyDescent="0.35">
      <c r="A648" s="7" t="s">
        <v>16</v>
      </c>
      <c r="B648" s="7" t="s">
        <v>18</v>
      </c>
      <c r="C648" s="6">
        <v>117</v>
      </c>
      <c r="D648" s="2">
        <v>8309.6649999999991</v>
      </c>
      <c r="E648" s="2">
        <v>5367.6650000000009</v>
      </c>
      <c r="F648" s="2">
        <v>26975</v>
      </c>
      <c r="G648" s="2">
        <v>3919.27</v>
      </c>
      <c r="H648" s="2">
        <v>5892.69</v>
      </c>
      <c r="I648" s="2">
        <v>250</v>
      </c>
      <c r="J648" s="2">
        <v>8309.6649999999991</v>
      </c>
      <c r="K648" s="2">
        <v>5367.6650000000009</v>
      </c>
      <c r="L648" s="2">
        <v>26975</v>
      </c>
      <c r="M648" s="2">
        <v>3919.27</v>
      </c>
      <c r="N648" s="2">
        <v>5892.69</v>
      </c>
      <c r="O648" s="2">
        <v>250</v>
      </c>
      <c r="P648" s="8">
        <v>5.2658900000000002E-2</v>
      </c>
      <c r="Q648" s="8">
        <v>1.8088200000000001</v>
      </c>
      <c r="R648" s="8">
        <v>0.100651</v>
      </c>
      <c r="S648" s="8">
        <f>Tabelle1[[#This Row],[corr_x]]/1000</f>
        <v>8.309664999999999</v>
      </c>
      <c r="T648" s="8">
        <f>Tabelle1[[#This Row],[corr_y]]/1000</f>
        <v>5.3676650000000006</v>
      </c>
      <c r="U648" s="8">
        <f>Tabelle1[[#This Row],[corr_z]]/1000</f>
        <v>26.975000000000001</v>
      </c>
      <c r="V648" s="8">
        <f>Tabelle1[[#This Row],[corr_soma_x]]/1000</f>
        <v>3.91927</v>
      </c>
      <c r="W648" s="8">
        <f>Tabelle1[[#This Row],[corr_soma_y]]/1000</f>
        <v>5.89269</v>
      </c>
      <c r="X648" s="8">
        <f>Tabelle1[[#This Row],[corr_soma_z]]/1000</f>
        <v>0.25</v>
      </c>
    </row>
    <row r="649" spans="1:24" x14ac:dyDescent="0.35">
      <c r="A649" s="7" t="s">
        <v>16</v>
      </c>
      <c r="B649" s="7" t="s">
        <v>18</v>
      </c>
      <c r="C649" s="6">
        <v>118</v>
      </c>
      <c r="D649" s="2">
        <v>8439.85</v>
      </c>
      <c r="E649" s="2">
        <v>5159.2449999999999</v>
      </c>
      <c r="F649" s="2">
        <v>26924.999999999996</v>
      </c>
      <c r="G649" s="2">
        <v>3919.27</v>
      </c>
      <c r="H649" s="2">
        <v>5892.69</v>
      </c>
      <c r="I649" s="2">
        <v>250</v>
      </c>
      <c r="J649" s="2">
        <v>8439.85</v>
      </c>
      <c r="K649" s="2">
        <v>5159.2449999999999</v>
      </c>
      <c r="L649" s="2">
        <v>26924.999999999996</v>
      </c>
      <c r="M649" s="2">
        <v>3919.27</v>
      </c>
      <c r="N649" s="2">
        <v>5892.69</v>
      </c>
      <c r="O649" s="2">
        <v>250</v>
      </c>
      <c r="P649" s="8">
        <v>4.27313E-2</v>
      </c>
      <c r="Q649" s="8">
        <v>0.71643000000000001</v>
      </c>
      <c r="R649" s="8">
        <v>3.3332800000000003E-2</v>
      </c>
      <c r="S649" s="8">
        <f>Tabelle1[[#This Row],[corr_x]]/1000</f>
        <v>8.4398499999999999</v>
      </c>
      <c r="T649" s="8">
        <f>Tabelle1[[#This Row],[corr_y]]/1000</f>
        <v>5.1592450000000003</v>
      </c>
      <c r="U649" s="8">
        <f>Tabelle1[[#This Row],[corr_z]]/1000</f>
        <v>26.924999999999997</v>
      </c>
      <c r="V649" s="8">
        <f>Tabelle1[[#This Row],[corr_soma_x]]/1000</f>
        <v>3.91927</v>
      </c>
      <c r="W649" s="8">
        <f>Tabelle1[[#This Row],[corr_soma_y]]/1000</f>
        <v>5.89269</v>
      </c>
      <c r="X649" s="8">
        <f>Tabelle1[[#This Row],[corr_soma_z]]/1000</f>
        <v>0.25</v>
      </c>
    </row>
    <row r="650" spans="1:24" x14ac:dyDescent="0.35">
      <c r="A650" s="7" t="s">
        <v>16</v>
      </c>
      <c r="B650" s="7" t="s">
        <v>18</v>
      </c>
      <c r="C650" s="6">
        <v>119</v>
      </c>
      <c r="D650" s="2">
        <v>8606.4699999999993</v>
      </c>
      <c r="E650" s="2">
        <v>6056.93</v>
      </c>
      <c r="F650" s="2">
        <v>27350</v>
      </c>
      <c r="G650" s="2">
        <v>3919.27</v>
      </c>
      <c r="H650" s="2">
        <v>5892.69</v>
      </c>
      <c r="I650" s="2">
        <v>250</v>
      </c>
      <c r="J650" s="2">
        <v>8606.4699999999993</v>
      </c>
      <c r="K650" s="2">
        <v>6056.93</v>
      </c>
      <c r="L650" s="2">
        <v>27350</v>
      </c>
      <c r="M650" s="2">
        <v>3919.27</v>
      </c>
      <c r="N650" s="2">
        <v>5892.69</v>
      </c>
      <c r="O650" s="2">
        <v>250</v>
      </c>
      <c r="P650" s="8">
        <v>0.100615</v>
      </c>
      <c r="Q650" s="8">
        <v>1.48614</v>
      </c>
      <c r="R650" s="8">
        <v>9.3876699999999993E-2</v>
      </c>
      <c r="S650" s="8">
        <f>Tabelle1[[#This Row],[corr_x]]/1000</f>
        <v>8.6064699999999998</v>
      </c>
      <c r="T650" s="8">
        <f>Tabelle1[[#This Row],[corr_y]]/1000</f>
        <v>6.0569300000000004</v>
      </c>
      <c r="U650" s="8">
        <f>Tabelle1[[#This Row],[corr_z]]/1000</f>
        <v>27.35</v>
      </c>
      <c r="V650" s="8">
        <f>Tabelle1[[#This Row],[corr_soma_x]]/1000</f>
        <v>3.91927</v>
      </c>
      <c r="W650" s="8">
        <f>Tabelle1[[#This Row],[corr_soma_y]]/1000</f>
        <v>5.89269</v>
      </c>
      <c r="X650" s="8">
        <f>Tabelle1[[#This Row],[corr_soma_z]]/1000</f>
        <v>0.25</v>
      </c>
    </row>
    <row r="651" spans="1:24" x14ac:dyDescent="0.35">
      <c r="A651" s="7" t="s">
        <v>16</v>
      </c>
      <c r="B651" s="7" t="s">
        <v>18</v>
      </c>
      <c r="C651" s="6">
        <v>120</v>
      </c>
      <c r="D651" s="2">
        <v>8627.8799999999992</v>
      </c>
      <c r="E651" s="2">
        <v>5425.4800000000005</v>
      </c>
      <c r="F651" s="2">
        <v>27250</v>
      </c>
      <c r="G651" s="2">
        <v>3919.27</v>
      </c>
      <c r="H651" s="2">
        <v>5892.69</v>
      </c>
      <c r="I651" s="2">
        <v>250</v>
      </c>
      <c r="J651" s="2">
        <v>8627.8799999999992</v>
      </c>
      <c r="K651" s="2">
        <v>5425.4800000000005</v>
      </c>
      <c r="L651" s="2">
        <v>27250</v>
      </c>
      <c r="M651" s="2">
        <v>3919.27</v>
      </c>
      <c r="N651" s="2">
        <v>5892.69</v>
      </c>
      <c r="O651" s="2">
        <v>250</v>
      </c>
      <c r="P651" s="8">
        <v>3.3298700000000001E-2</v>
      </c>
      <c r="Q651" s="8">
        <v>2.9833799999999999</v>
      </c>
      <c r="R651" s="8">
        <v>0.22978799999999999</v>
      </c>
      <c r="S651" s="8">
        <f>Tabelle1[[#This Row],[corr_x]]/1000</f>
        <v>8.6278799999999993</v>
      </c>
      <c r="T651" s="8">
        <f>Tabelle1[[#This Row],[corr_y]]/1000</f>
        <v>5.4254800000000003</v>
      </c>
      <c r="U651" s="8">
        <f>Tabelle1[[#This Row],[corr_z]]/1000</f>
        <v>27.25</v>
      </c>
      <c r="V651" s="8">
        <f>Tabelle1[[#This Row],[corr_soma_x]]/1000</f>
        <v>3.91927</v>
      </c>
      <c r="W651" s="8">
        <f>Tabelle1[[#This Row],[corr_soma_y]]/1000</f>
        <v>5.89269</v>
      </c>
      <c r="X651" s="8">
        <f>Tabelle1[[#This Row],[corr_soma_z]]/1000</f>
        <v>0.25</v>
      </c>
    </row>
    <row r="652" spans="1:24" x14ac:dyDescent="0.35">
      <c r="A652" s="7" t="s">
        <v>16</v>
      </c>
      <c r="B652" s="7" t="s">
        <v>18</v>
      </c>
      <c r="C652" s="6">
        <v>121</v>
      </c>
      <c r="D652" s="2">
        <v>8556.2000000000007</v>
      </c>
      <c r="E652" s="2">
        <v>5767.13</v>
      </c>
      <c r="F652" s="2">
        <v>27800</v>
      </c>
      <c r="G652" s="2">
        <v>3919.27</v>
      </c>
      <c r="H652" s="2">
        <v>5892.69</v>
      </c>
      <c r="I652" s="2">
        <v>250</v>
      </c>
      <c r="J652" s="2">
        <v>8556.2000000000007</v>
      </c>
      <c r="K652" s="2">
        <v>5767.13</v>
      </c>
      <c r="L652" s="2">
        <v>27800</v>
      </c>
      <c r="M652" s="2">
        <v>3919.27</v>
      </c>
      <c r="N652" s="2">
        <v>5892.69</v>
      </c>
      <c r="O652" s="2">
        <v>250</v>
      </c>
      <c r="P652" s="8">
        <v>7.09066E-2</v>
      </c>
      <c r="Q652" s="8">
        <v>1.80508</v>
      </c>
      <c r="R652" s="8">
        <v>0.13755400000000001</v>
      </c>
      <c r="S652" s="8">
        <f>Tabelle1[[#This Row],[corr_x]]/1000</f>
        <v>8.5562000000000005</v>
      </c>
      <c r="T652" s="8">
        <f>Tabelle1[[#This Row],[corr_y]]/1000</f>
        <v>5.7671299999999999</v>
      </c>
      <c r="U652" s="8">
        <f>Tabelle1[[#This Row],[corr_z]]/1000</f>
        <v>27.8</v>
      </c>
      <c r="V652" s="8">
        <f>Tabelle1[[#This Row],[corr_soma_x]]/1000</f>
        <v>3.91927</v>
      </c>
      <c r="W652" s="8">
        <f>Tabelle1[[#This Row],[corr_soma_y]]/1000</f>
        <v>5.89269</v>
      </c>
      <c r="X652" s="8">
        <f>Tabelle1[[#This Row],[corr_soma_z]]/1000</f>
        <v>0.25</v>
      </c>
    </row>
    <row r="653" spans="1:24" x14ac:dyDescent="0.35">
      <c r="A653" s="7" t="s">
        <v>16</v>
      </c>
      <c r="B653" s="7" t="s">
        <v>18</v>
      </c>
      <c r="C653" s="6">
        <v>122</v>
      </c>
      <c r="D653" s="2">
        <v>8840.4900000000016</v>
      </c>
      <c r="E653" s="2">
        <v>6293.1900000000005</v>
      </c>
      <c r="F653" s="2">
        <v>27750</v>
      </c>
      <c r="G653" s="2">
        <v>3919.27</v>
      </c>
      <c r="H653" s="2">
        <v>5892.69</v>
      </c>
      <c r="I653" s="2">
        <v>250</v>
      </c>
      <c r="J653" s="2">
        <v>8840.4900000000016</v>
      </c>
      <c r="K653" s="2">
        <v>6293.1900000000005</v>
      </c>
      <c r="L653" s="2">
        <v>27750</v>
      </c>
      <c r="M653" s="2">
        <v>3919.27</v>
      </c>
      <c r="N653" s="2">
        <v>5892.69</v>
      </c>
      <c r="O653" s="2">
        <v>250</v>
      </c>
      <c r="P653" s="8">
        <v>2.9120900000000002E-2</v>
      </c>
      <c r="Q653" s="8">
        <v>0.83869700000000003</v>
      </c>
      <c r="R653" s="8">
        <v>5.4417300000000002E-2</v>
      </c>
      <c r="S653" s="8">
        <f>Tabelle1[[#This Row],[corr_x]]/1000</f>
        <v>8.8404900000000008</v>
      </c>
      <c r="T653" s="8">
        <f>Tabelle1[[#This Row],[corr_y]]/1000</f>
        <v>6.2931900000000009</v>
      </c>
      <c r="U653" s="8">
        <f>Tabelle1[[#This Row],[corr_z]]/1000</f>
        <v>27.75</v>
      </c>
      <c r="V653" s="8">
        <f>Tabelle1[[#This Row],[corr_soma_x]]/1000</f>
        <v>3.91927</v>
      </c>
      <c r="W653" s="8">
        <f>Tabelle1[[#This Row],[corr_soma_y]]/1000</f>
        <v>5.89269</v>
      </c>
      <c r="X653" s="8">
        <f>Tabelle1[[#This Row],[corr_soma_z]]/1000</f>
        <v>0.25</v>
      </c>
    </row>
    <row r="654" spans="1:24" x14ac:dyDescent="0.35">
      <c r="A654" s="7" t="s">
        <v>16</v>
      </c>
      <c r="B654" s="7" t="s">
        <v>18</v>
      </c>
      <c r="C654" s="6">
        <v>123</v>
      </c>
      <c r="D654" s="2">
        <v>9040.82</v>
      </c>
      <c r="E654" s="2">
        <v>6072.16</v>
      </c>
      <c r="F654" s="2">
        <v>27650</v>
      </c>
      <c r="G654" s="2">
        <v>3919.27</v>
      </c>
      <c r="H654" s="2">
        <v>5892.69</v>
      </c>
      <c r="I654" s="2">
        <v>250</v>
      </c>
      <c r="J654" s="2">
        <v>9040.82</v>
      </c>
      <c r="K654" s="2">
        <v>6072.16</v>
      </c>
      <c r="L654" s="2">
        <v>27650</v>
      </c>
      <c r="M654" s="2">
        <v>3919.27</v>
      </c>
      <c r="N654" s="2">
        <v>5892.69</v>
      </c>
      <c r="O654" s="2">
        <v>250</v>
      </c>
      <c r="P654" s="8">
        <v>3.7549300000000001E-2</v>
      </c>
      <c r="Q654" s="8">
        <v>1.30623</v>
      </c>
      <c r="R654" s="8">
        <v>8.9217000000000005E-2</v>
      </c>
      <c r="S654" s="8">
        <f>Tabelle1[[#This Row],[corr_x]]/1000</f>
        <v>9.0408200000000001</v>
      </c>
      <c r="T654" s="8">
        <f>Tabelle1[[#This Row],[corr_y]]/1000</f>
        <v>6.0721600000000002</v>
      </c>
      <c r="U654" s="8">
        <f>Tabelle1[[#This Row],[corr_z]]/1000</f>
        <v>27.65</v>
      </c>
      <c r="V654" s="8">
        <f>Tabelle1[[#This Row],[corr_soma_x]]/1000</f>
        <v>3.91927</v>
      </c>
      <c r="W654" s="8">
        <f>Tabelle1[[#This Row],[corr_soma_y]]/1000</f>
        <v>5.89269</v>
      </c>
      <c r="X654" s="8">
        <f>Tabelle1[[#This Row],[corr_soma_z]]/1000</f>
        <v>0.25</v>
      </c>
    </row>
    <row r="655" spans="1:24" x14ac:dyDescent="0.35">
      <c r="A655" s="7" t="s">
        <v>16</v>
      </c>
      <c r="B655" s="7" t="s">
        <v>18</v>
      </c>
      <c r="C655" s="6">
        <v>124</v>
      </c>
      <c r="D655" s="2">
        <v>9151.6149999999998</v>
      </c>
      <c r="E655" s="2">
        <v>6199.9800000000005</v>
      </c>
      <c r="F655" s="2">
        <v>27924.999999999996</v>
      </c>
      <c r="G655" s="2">
        <v>3919.27</v>
      </c>
      <c r="H655" s="2">
        <v>5892.69</v>
      </c>
      <c r="I655" s="2">
        <v>250</v>
      </c>
      <c r="J655" s="2">
        <v>9151.6149999999998</v>
      </c>
      <c r="K655" s="2">
        <v>6199.9800000000005</v>
      </c>
      <c r="L655" s="2">
        <v>27924.999999999996</v>
      </c>
      <c r="M655" s="2">
        <v>3919.27</v>
      </c>
      <c r="N655" s="2">
        <v>5892.69</v>
      </c>
      <c r="O655" s="2">
        <v>250</v>
      </c>
      <c r="P655" s="8">
        <v>3.3966499999999997E-2</v>
      </c>
      <c r="Q655" s="8">
        <v>1.5239</v>
      </c>
      <c r="R655" s="8">
        <v>0.101505</v>
      </c>
      <c r="S655" s="8">
        <f>Tabelle1[[#This Row],[corr_x]]/1000</f>
        <v>9.1516149999999996</v>
      </c>
      <c r="T655" s="8">
        <f>Tabelle1[[#This Row],[corr_y]]/1000</f>
        <v>6.19998</v>
      </c>
      <c r="U655" s="8">
        <f>Tabelle1[[#This Row],[corr_z]]/1000</f>
        <v>27.924999999999997</v>
      </c>
      <c r="V655" s="8">
        <f>Tabelle1[[#This Row],[corr_soma_x]]/1000</f>
        <v>3.91927</v>
      </c>
      <c r="W655" s="8">
        <f>Tabelle1[[#This Row],[corr_soma_y]]/1000</f>
        <v>5.89269</v>
      </c>
      <c r="X655" s="8">
        <f>Tabelle1[[#This Row],[corr_soma_z]]/1000</f>
        <v>0.25</v>
      </c>
    </row>
    <row r="656" spans="1:24" x14ac:dyDescent="0.35">
      <c r="A656" s="7" t="s">
        <v>16</v>
      </c>
      <c r="B656" s="7" t="s">
        <v>19</v>
      </c>
      <c r="C656" s="6">
        <v>17</v>
      </c>
      <c r="D656" s="2">
        <v>9079.33</v>
      </c>
      <c r="E656" s="2">
        <v>6004.95</v>
      </c>
      <c r="F656" s="2">
        <v>28050</v>
      </c>
      <c r="G656" s="2">
        <v>3919.27</v>
      </c>
      <c r="H656" s="2">
        <v>5892.69</v>
      </c>
      <c r="I656" s="2">
        <v>250</v>
      </c>
      <c r="J656" s="2">
        <v>9079.33</v>
      </c>
      <c r="K656" s="2">
        <v>6004.95</v>
      </c>
      <c r="L656" s="2">
        <v>28050</v>
      </c>
      <c r="M656" s="2">
        <v>3919.27</v>
      </c>
      <c r="N656" s="2">
        <v>5892.69</v>
      </c>
      <c r="O656" s="2">
        <v>250</v>
      </c>
      <c r="P656" s="8">
        <v>4.0208800000000003E-2</v>
      </c>
      <c r="Q656" s="8">
        <v>1.5025500000000001</v>
      </c>
      <c r="R656" s="8">
        <v>0.113687</v>
      </c>
      <c r="S656" s="8">
        <f>Tabelle1[[#This Row],[corr_x]]/1000</f>
        <v>9.0793300000000006</v>
      </c>
      <c r="T656" s="8">
        <f>Tabelle1[[#This Row],[corr_y]]/1000</f>
        <v>6.00495</v>
      </c>
      <c r="U656" s="8">
        <f>Tabelle1[[#This Row],[corr_z]]/1000</f>
        <v>28.05</v>
      </c>
      <c r="V656" s="8">
        <f>Tabelle1[[#This Row],[corr_soma_x]]/1000</f>
        <v>3.91927</v>
      </c>
      <c r="W656" s="8">
        <f>Tabelle1[[#This Row],[corr_soma_y]]/1000</f>
        <v>5.89269</v>
      </c>
      <c r="X656" s="8">
        <f>Tabelle1[[#This Row],[corr_soma_z]]/1000</f>
        <v>0.25</v>
      </c>
    </row>
    <row r="657" spans="1:24" x14ac:dyDescent="0.35">
      <c r="A657" s="7" t="s">
        <v>16</v>
      </c>
      <c r="B657" s="7" t="s">
        <v>19</v>
      </c>
      <c r="C657" s="6">
        <v>18</v>
      </c>
      <c r="D657" s="2">
        <v>8905.4749999999985</v>
      </c>
      <c r="E657" s="2">
        <v>6014.0599999999995</v>
      </c>
      <c r="F657" s="2">
        <v>28375</v>
      </c>
      <c r="G657" s="2">
        <v>3919.27</v>
      </c>
      <c r="H657" s="2">
        <v>5892.69</v>
      </c>
      <c r="I657" s="2">
        <v>250</v>
      </c>
      <c r="J657" s="2">
        <v>8905.4749999999985</v>
      </c>
      <c r="K657" s="2">
        <v>6014.0599999999995</v>
      </c>
      <c r="L657" s="2">
        <v>28375</v>
      </c>
      <c r="M657" s="2">
        <v>3919.27</v>
      </c>
      <c r="N657" s="2">
        <v>5892.69</v>
      </c>
      <c r="O657" s="2">
        <v>250</v>
      </c>
      <c r="P657" s="8">
        <v>1.54436E-2</v>
      </c>
      <c r="Q657" s="8">
        <v>2.9915699999999998</v>
      </c>
      <c r="R657" s="8">
        <v>0.14904000000000001</v>
      </c>
      <c r="S657" s="8">
        <f>Tabelle1[[#This Row],[corr_x]]/1000</f>
        <v>8.9054749999999991</v>
      </c>
      <c r="T657" s="8">
        <f>Tabelle1[[#This Row],[corr_y]]/1000</f>
        <v>6.0140599999999997</v>
      </c>
      <c r="U657" s="8">
        <f>Tabelle1[[#This Row],[corr_z]]/1000</f>
        <v>28.375</v>
      </c>
      <c r="V657" s="8">
        <f>Tabelle1[[#This Row],[corr_soma_x]]/1000</f>
        <v>3.91927</v>
      </c>
      <c r="W657" s="8">
        <f>Tabelle1[[#This Row],[corr_soma_y]]/1000</f>
        <v>5.89269</v>
      </c>
      <c r="X657" s="8">
        <f>Tabelle1[[#This Row],[corr_soma_z]]/1000</f>
        <v>0.25</v>
      </c>
    </row>
    <row r="658" spans="1:24" x14ac:dyDescent="0.35">
      <c r="A658" s="7" t="s">
        <v>16</v>
      </c>
      <c r="B658" s="7" t="s">
        <v>18</v>
      </c>
      <c r="C658" s="6">
        <v>125</v>
      </c>
      <c r="D658" s="2">
        <v>9056.2049999999999</v>
      </c>
      <c r="E658" s="2">
        <v>6359.0149999999994</v>
      </c>
      <c r="F658" s="2">
        <v>28625</v>
      </c>
      <c r="G658" s="2">
        <v>3919.27</v>
      </c>
      <c r="H658" s="2">
        <v>5892.69</v>
      </c>
      <c r="I658" s="2">
        <v>250</v>
      </c>
      <c r="J658" s="2">
        <v>9056.2049999999999</v>
      </c>
      <c r="K658" s="2">
        <v>6359.0149999999994</v>
      </c>
      <c r="L658" s="2">
        <v>28625</v>
      </c>
      <c r="M658" s="2">
        <v>3919.27</v>
      </c>
      <c r="N658" s="2">
        <v>5892.69</v>
      </c>
      <c r="O658" s="2">
        <v>250</v>
      </c>
      <c r="P658" s="8">
        <v>3.3020099999999997E-2</v>
      </c>
      <c r="Q658" s="8">
        <v>1.2129700000000001</v>
      </c>
      <c r="R658" s="8">
        <v>7.1461499999999997E-2</v>
      </c>
      <c r="S658" s="8">
        <f>Tabelle1[[#This Row],[corr_x]]/1000</f>
        <v>9.0562050000000003</v>
      </c>
      <c r="T658" s="8">
        <f>Tabelle1[[#This Row],[corr_y]]/1000</f>
        <v>6.3590149999999994</v>
      </c>
      <c r="U658" s="8">
        <f>Tabelle1[[#This Row],[corr_z]]/1000</f>
        <v>28.625</v>
      </c>
      <c r="V658" s="8">
        <f>Tabelle1[[#This Row],[corr_soma_x]]/1000</f>
        <v>3.91927</v>
      </c>
      <c r="W658" s="8">
        <f>Tabelle1[[#This Row],[corr_soma_y]]/1000</f>
        <v>5.89269</v>
      </c>
      <c r="X658" s="8">
        <f>Tabelle1[[#This Row],[corr_soma_z]]/1000</f>
        <v>0.25</v>
      </c>
    </row>
    <row r="659" spans="1:24" x14ac:dyDescent="0.35">
      <c r="A659" s="7" t="s">
        <v>16</v>
      </c>
      <c r="B659" s="7" t="s">
        <v>18</v>
      </c>
      <c r="C659" s="6">
        <v>126</v>
      </c>
      <c r="D659" s="2">
        <v>8655.4350000000013</v>
      </c>
      <c r="E659" s="2">
        <v>6281.49</v>
      </c>
      <c r="F659" s="2">
        <v>28750</v>
      </c>
      <c r="G659" s="2">
        <v>3919.27</v>
      </c>
      <c r="H659" s="2">
        <v>5892.69</v>
      </c>
      <c r="I659" s="2">
        <v>250</v>
      </c>
      <c r="J659" s="2">
        <v>8655.4350000000013</v>
      </c>
      <c r="K659" s="2">
        <v>6281.49</v>
      </c>
      <c r="L659" s="2">
        <v>28750</v>
      </c>
      <c r="M659" s="2">
        <v>3919.27</v>
      </c>
      <c r="N659" s="2">
        <v>5892.69</v>
      </c>
      <c r="O659" s="2">
        <v>250</v>
      </c>
      <c r="P659" s="8">
        <v>0.11924700000000001</v>
      </c>
      <c r="Q659" s="8">
        <v>1.7437400000000001</v>
      </c>
      <c r="R659" s="8">
        <v>0.167189</v>
      </c>
      <c r="S659" s="8">
        <f>Tabelle1[[#This Row],[corr_x]]/1000</f>
        <v>8.6554350000000007</v>
      </c>
      <c r="T659" s="8">
        <f>Tabelle1[[#This Row],[corr_y]]/1000</f>
        <v>6.2814899999999998</v>
      </c>
      <c r="U659" s="8">
        <f>Tabelle1[[#This Row],[corr_z]]/1000</f>
        <v>28.75</v>
      </c>
      <c r="V659" s="8">
        <f>Tabelle1[[#This Row],[corr_soma_x]]/1000</f>
        <v>3.91927</v>
      </c>
      <c r="W659" s="8">
        <f>Tabelle1[[#This Row],[corr_soma_y]]/1000</f>
        <v>5.89269</v>
      </c>
      <c r="X659" s="8">
        <f>Tabelle1[[#This Row],[corr_soma_z]]/1000</f>
        <v>0.25</v>
      </c>
    </row>
    <row r="660" spans="1:24" x14ac:dyDescent="0.35">
      <c r="A660" s="7" t="s">
        <v>16</v>
      </c>
      <c r="B660" s="7" t="s">
        <v>18</v>
      </c>
      <c r="C660" s="6">
        <v>127</v>
      </c>
      <c r="D660" s="2">
        <v>8974.15</v>
      </c>
      <c r="E660" s="2">
        <v>6728.3249999999998</v>
      </c>
      <c r="F660" s="2">
        <v>29375</v>
      </c>
      <c r="G660" s="2">
        <v>3919.27</v>
      </c>
      <c r="H660" s="2">
        <v>5892.69</v>
      </c>
      <c r="I660" s="2">
        <v>250</v>
      </c>
      <c r="J660" s="2">
        <v>8974.15</v>
      </c>
      <c r="K660" s="2">
        <v>6728.3249999999998</v>
      </c>
      <c r="L660" s="2">
        <v>29375</v>
      </c>
      <c r="M660" s="2">
        <v>3919.27</v>
      </c>
      <c r="N660" s="2">
        <v>5892.69</v>
      </c>
      <c r="O660" s="2">
        <v>250</v>
      </c>
      <c r="P660" s="8">
        <v>0.160635</v>
      </c>
      <c r="Q660" s="8">
        <v>3.05016</v>
      </c>
      <c r="R660" s="8">
        <v>0.15909599999999999</v>
      </c>
      <c r="S660" s="8">
        <f>Tabelle1[[#This Row],[corr_x]]/1000</f>
        <v>8.9741499999999998</v>
      </c>
      <c r="T660" s="8">
        <f>Tabelle1[[#This Row],[corr_y]]/1000</f>
        <v>6.7283249999999999</v>
      </c>
      <c r="U660" s="8">
        <f>Tabelle1[[#This Row],[corr_z]]/1000</f>
        <v>29.375</v>
      </c>
      <c r="V660" s="8">
        <f>Tabelle1[[#This Row],[corr_soma_x]]/1000</f>
        <v>3.91927</v>
      </c>
      <c r="W660" s="8">
        <f>Tabelle1[[#This Row],[corr_soma_y]]/1000</f>
        <v>5.89269</v>
      </c>
      <c r="X660" s="8">
        <f>Tabelle1[[#This Row],[corr_soma_z]]/1000</f>
        <v>0.25</v>
      </c>
    </row>
    <row r="661" spans="1:24" x14ac:dyDescent="0.35">
      <c r="A661" s="7" t="s">
        <v>16</v>
      </c>
      <c r="B661" s="7" t="s">
        <v>18</v>
      </c>
      <c r="C661" s="6">
        <v>128</v>
      </c>
      <c r="D661" s="2">
        <v>8706.3449999999993</v>
      </c>
      <c r="E661" s="2">
        <v>6231.1449999999995</v>
      </c>
      <c r="F661" s="2">
        <v>29174.999999999996</v>
      </c>
      <c r="G661" s="2">
        <v>3919.27</v>
      </c>
      <c r="H661" s="2">
        <v>5892.69</v>
      </c>
      <c r="I661" s="2">
        <v>250</v>
      </c>
      <c r="J661" s="2">
        <v>8706.3449999999993</v>
      </c>
      <c r="K661" s="2">
        <v>6231.1449999999995</v>
      </c>
      <c r="L661" s="2">
        <v>29174.999999999996</v>
      </c>
      <c r="M661" s="2">
        <v>3919.27</v>
      </c>
      <c r="N661" s="2">
        <v>5892.69</v>
      </c>
      <c r="O661" s="2">
        <v>250</v>
      </c>
      <c r="P661" s="8">
        <v>4.5765899999999998E-2</v>
      </c>
      <c r="Q661" s="8">
        <v>1.15215</v>
      </c>
      <c r="R661" s="8">
        <v>6.71596E-2</v>
      </c>
      <c r="S661" s="8">
        <f>Tabelle1[[#This Row],[corr_x]]/1000</f>
        <v>8.7063449999999989</v>
      </c>
      <c r="T661" s="8">
        <f>Tabelle1[[#This Row],[corr_y]]/1000</f>
        <v>6.2311449999999997</v>
      </c>
      <c r="U661" s="8">
        <f>Tabelle1[[#This Row],[corr_z]]/1000</f>
        <v>29.174999999999997</v>
      </c>
      <c r="V661" s="8">
        <f>Tabelle1[[#This Row],[corr_soma_x]]/1000</f>
        <v>3.91927</v>
      </c>
      <c r="W661" s="8">
        <f>Tabelle1[[#This Row],[corr_soma_y]]/1000</f>
        <v>5.89269</v>
      </c>
      <c r="X661" s="8">
        <f>Tabelle1[[#This Row],[corr_soma_z]]/1000</f>
        <v>0.25</v>
      </c>
    </row>
    <row r="662" spans="1:24" x14ac:dyDescent="0.35">
      <c r="A662" s="7" t="s">
        <v>16</v>
      </c>
      <c r="B662" s="7" t="s">
        <v>18</v>
      </c>
      <c r="C662" s="6">
        <v>129</v>
      </c>
      <c r="D662" s="2">
        <v>9151.3100000000013</v>
      </c>
      <c r="E662" s="2">
        <v>6493.8099999999995</v>
      </c>
      <c r="F662" s="2">
        <v>29700</v>
      </c>
      <c r="G662" s="2">
        <v>3919.27</v>
      </c>
      <c r="H662" s="2">
        <v>5892.69</v>
      </c>
      <c r="I662" s="2">
        <v>250</v>
      </c>
      <c r="J662" s="2">
        <v>9151.3100000000013</v>
      </c>
      <c r="K662" s="2">
        <v>6493.8099999999995</v>
      </c>
      <c r="L662" s="2">
        <v>29700</v>
      </c>
      <c r="M662" s="2">
        <v>3919.27</v>
      </c>
      <c r="N662" s="2">
        <v>5892.69</v>
      </c>
      <c r="O662" s="2">
        <v>250</v>
      </c>
      <c r="P662" s="8">
        <v>4.7466000000000001E-2</v>
      </c>
      <c r="Q662" s="8">
        <v>1.2503299999999999</v>
      </c>
      <c r="R662" s="8">
        <v>7.3675199999999996E-2</v>
      </c>
      <c r="S662" s="8">
        <f>Tabelle1[[#This Row],[corr_x]]/1000</f>
        <v>9.1513100000000005</v>
      </c>
      <c r="T662" s="8">
        <f>Tabelle1[[#This Row],[corr_y]]/1000</f>
        <v>6.4938099999999999</v>
      </c>
      <c r="U662" s="8">
        <f>Tabelle1[[#This Row],[corr_z]]/1000</f>
        <v>29.7</v>
      </c>
      <c r="V662" s="8">
        <f>Tabelle1[[#This Row],[corr_soma_x]]/1000</f>
        <v>3.91927</v>
      </c>
      <c r="W662" s="8">
        <f>Tabelle1[[#This Row],[corr_soma_y]]/1000</f>
        <v>5.89269</v>
      </c>
      <c r="X662" s="8">
        <f>Tabelle1[[#This Row],[corr_soma_z]]/1000</f>
        <v>0.25</v>
      </c>
    </row>
    <row r="663" spans="1:24" x14ac:dyDescent="0.35">
      <c r="A663" s="7" t="s">
        <v>16</v>
      </c>
      <c r="B663" s="7" t="s">
        <v>18</v>
      </c>
      <c r="C663" s="6">
        <v>130</v>
      </c>
      <c r="D663" s="2">
        <v>8801.2200000000012</v>
      </c>
      <c r="E663" s="2">
        <v>6324.3</v>
      </c>
      <c r="F663" s="2">
        <v>29600</v>
      </c>
      <c r="G663" s="2">
        <v>3919.27</v>
      </c>
      <c r="H663" s="2">
        <v>5892.69</v>
      </c>
      <c r="I663" s="2">
        <v>250</v>
      </c>
      <c r="J663" s="2">
        <v>8801.2200000000012</v>
      </c>
      <c r="K663" s="2">
        <v>6324.3</v>
      </c>
      <c r="L663" s="2">
        <v>29600</v>
      </c>
      <c r="M663" s="2">
        <v>3919.27</v>
      </c>
      <c r="N663" s="2">
        <v>5892.69</v>
      </c>
      <c r="O663" s="2">
        <v>250</v>
      </c>
      <c r="P663" s="8">
        <v>3.4289500000000001E-2</v>
      </c>
      <c r="Q663" s="8">
        <v>0.94557000000000002</v>
      </c>
      <c r="R663" s="8">
        <v>3.1491600000000002E-2</v>
      </c>
      <c r="S663" s="8">
        <f>Tabelle1[[#This Row],[corr_x]]/1000</f>
        <v>8.8012200000000007</v>
      </c>
      <c r="T663" s="8">
        <f>Tabelle1[[#This Row],[corr_y]]/1000</f>
        <v>6.3243</v>
      </c>
      <c r="U663" s="8">
        <f>Tabelle1[[#This Row],[corr_z]]/1000</f>
        <v>29.6</v>
      </c>
      <c r="V663" s="8">
        <f>Tabelle1[[#This Row],[corr_soma_x]]/1000</f>
        <v>3.91927</v>
      </c>
      <c r="W663" s="8">
        <f>Tabelle1[[#This Row],[corr_soma_y]]/1000</f>
        <v>5.89269</v>
      </c>
      <c r="X663" s="8">
        <f>Tabelle1[[#This Row],[corr_soma_z]]/1000</f>
        <v>0.25</v>
      </c>
    </row>
    <row r="664" spans="1:24" x14ac:dyDescent="0.35">
      <c r="A664" s="7" t="s">
        <v>16</v>
      </c>
      <c r="B664" s="7" t="s">
        <v>18</v>
      </c>
      <c r="C664" s="6">
        <v>131</v>
      </c>
      <c r="D664" s="2">
        <v>9165.9500000000007</v>
      </c>
      <c r="E664" s="2">
        <v>6715.79</v>
      </c>
      <c r="F664" s="2">
        <v>29500</v>
      </c>
      <c r="G664" s="2">
        <v>3919.27</v>
      </c>
      <c r="H664" s="2">
        <v>5892.69</v>
      </c>
      <c r="I664" s="2">
        <v>250</v>
      </c>
      <c r="J664" s="2">
        <v>9165.9500000000007</v>
      </c>
      <c r="K664" s="2">
        <v>6715.79</v>
      </c>
      <c r="L664" s="2">
        <v>29500</v>
      </c>
      <c r="M664" s="2">
        <v>3919.27</v>
      </c>
      <c r="N664" s="2">
        <v>5892.69</v>
      </c>
      <c r="O664" s="2">
        <v>250</v>
      </c>
      <c r="P664" s="8">
        <v>2.32423E-2</v>
      </c>
      <c r="Q664" s="8">
        <v>0.65117800000000003</v>
      </c>
      <c r="R664" s="8">
        <v>2.4602099999999998E-2</v>
      </c>
      <c r="S664" s="8">
        <f>Tabelle1[[#This Row],[corr_x]]/1000</f>
        <v>9.1659500000000005</v>
      </c>
      <c r="T664" s="8">
        <f>Tabelle1[[#This Row],[corr_y]]/1000</f>
        <v>6.7157900000000001</v>
      </c>
      <c r="U664" s="8">
        <f>Tabelle1[[#This Row],[corr_z]]/1000</f>
        <v>29.5</v>
      </c>
      <c r="V664" s="8">
        <f>Tabelle1[[#This Row],[corr_soma_x]]/1000</f>
        <v>3.91927</v>
      </c>
      <c r="W664" s="8">
        <f>Tabelle1[[#This Row],[corr_soma_y]]/1000</f>
        <v>5.89269</v>
      </c>
      <c r="X664" s="8">
        <f>Tabelle1[[#This Row],[corr_soma_z]]/1000</f>
        <v>0.25</v>
      </c>
    </row>
    <row r="665" spans="1:24" x14ac:dyDescent="0.35">
      <c r="A665" s="7" t="s">
        <v>16</v>
      </c>
      <c r="B665" s="7" t="s">
        <v>18</v>
      </c>
      <c r="C665" s="6">
        <v>132</v>
      </c>
      <c r="D665" s="2">
        <v>9033.4500000000007</v>
      </c>
      <c r="E665" s="2">
        <v>6802.4699999999993</v>
      </c>
      <c r="F665" s="2">
        <v>29924.999999999996</v>
      </c>
      <c r="G665" s="2">
        <v>3919.27</v>
      </c>
      <c r="H665" s="2">
        <v>5892.69</v>
      </c>
      <c r="I665" s="2">
        <v>250</v>
      </c>
      <c r="J665" s="2">
        <v>9033.4500000000007</v>
      </c>
      <c r="K665" s="2">
        <v>6802.4699999999993</v>
      </c>
      <c r="L665" s="2">
        <v>29924.999999999996</v>
      </c>
      <c r="M665" s="2">
        <v>3919.27</v>
      </c>
      <c r="N665" s="2">
        <v>5892.69</v>
      </c>
      <c r="O665" s="2">
        <v>250</v>
      </c>
      <c r="P665" s="8">
        <v>1.2081400000000001E-2</v>
      </c>
      <c r="Q665" s="8">
        <v>0.69227000000000005</v>
      </c>
      <c r="R665" s="8">
        <v>1.9545799999999999E-2</v>
      </c>
      <c r="S665" s="8">
        <f>Tabelle1[[#This Row],[corr_x]]/1000</f>
        <v>9.0334500000000002</v>
      </c>
      <c r="T665" s="8">
        <f>Tabelle1[[#This Row],[corr_y]]/1000</f>
        <v>6.8024699999999996</v>
      </c>
      <c r="U665" s="8">
        <f>Tabelle1[[#This Row],[corr_z]]/1000</f>
        <v>29.924999999999997</v>
      </c>
      <c r="V665" s="8">
        <f>Tabelle1[[#This Row],[corr_soma_x]]/1000</f>
        <v>3.91927</v>
      </c>
      <c r="W665" s="8">
        <f>Tabelle1[[#This Row],[corr_soma_y]]/1000</f>
        <v>5.89269</v>
      </c>
      <c r="X665" s="8">
        <f>Tabelle1[[#This Row],[corr_soma_z]]/1000</f>
        <v>0.25</v>
      </c>
    </row>
    <row r="666" spans="1:24" x14ac:dyDescent="0.35">
      <c r="A666" s="7" t="s">
        <v>16</v>
      </c>
      <c r="B666" s="7" t="s">
        <v>18</v>
      </c>
      <c r="C666" s="6">
        <v>133</v>
      </c>
      <c r="D666" s="2">
        <v>9228.3150000000005</v>
      </c>
      <c r="E666" s="2">
        <v>6652.87</v>
      </c>
      <c r="F666" s="2">
        <v>30025</v>
      </c>
      <c r="G666" s="2">
        <v>3919.27</v>
      </c>
      <c r="H666" s="2">
        <v>5892.69</v>
      </c>
      <c r="I666" s="2">
        <v>250</v>
      </c>
      <c r="J666" s="2">
        <v>9228.3150000000005</v>
      </c>
      <c r="K666" s="2">
        <v>6652.87</v>
      </c>
      <c r="L666" s="2">
        <v>30025</v>
      </c>
      <c r="M666" s="2">
        <v>3919.27</v>
      </c>
      <c r="N666" s="2">
        <v>5892.69</v>
      </c>
      <c r="O666" s="2">
        <v>250</v>
      </c>
      <c r="P666" s="8">
        <v>5.0400599999999997E-2</v>
      </c>
      <c r="Q666" s="8">
        <v>2.0592600000000001</v>
      </c>
      <c r="R666" s="8">
        <v>8.8080599999999995E-2</v>
      </c>
      <c r="S666" s="8">
        <f>Tabelle1[[#This Row],[corr_x]]/1000</f>
        <v>9.2283150000000003</v>
      </c>
      <c r="T666" s="8">
        <f>Tabelle1[[#This Row],[corr_y]]/1000</f>
        <v>6.6528700000000001</v>
      </c>
      <c r="U666" s="8">
        <f>Tabelle1[[#This Row],[corr_z]]/1000</f>
        <v>30.024999999999999</v>
      </c>
      <c r="V666" s="8">
        <f>Tabelle1[[#This Row],[corr_soma_x]]/1000</f>
        <v>3.91927</v>
      </c>
      <c r="W666" s="8">
        <f>Tabelle1[[#This Row],[corr_soma_y]]/1000</f>
        <v>5.89269</v>
      </c>
      <c r="X666" s="8">
        <f>Tabelle1[[#This Row],[corr_soma_z]]/1000</f>
        <v>0.25</v>
      </c>
    </row>
    <row r="667" spans="1:24" x14ac:dyDescent="0.35">
      <c r="A667" s="7" t="s">
        <v>16</v>
      </c>
      <c r="B667" s="7" t="s">
        <v>18</v>
      </c>
      <c r="C667" s="6">
        <v>134</v>
      </c>
      <c r="D667" s="2">
        <v>8831.1050000000014</v>
      </c>
      <c r="E667" s="2">
        <v>6696.02</v>
      </c>
      <c r="F667" s="2">
        <v>30174.999999999996</v>
      </c>
      <c r="G667" s="2">
        <v>3919.27</v>
      </c>
      <c r="H667" s="2">
        <v>5892.69</v>
      </c>
      <c r="I667" s="2">
        <v>250</v>
      </c>
      <c r="J667" s="2">
        <v>8831.1050000000014</v>
      </c>
      <c r="K667" s="2">
        <v>6696.02</v>
      </c>
      <c r="L667" s="2">
        <v>30174.999999999996</v>
      </c>
      <c r="M667" s="2">
        <v>3919.27</v>
      </c>
      <c r="N667" s="2">
        <v>5892.69</v>
      </c>
      <c r="O667" s="2">
        <v>250</v>
      </c>
      <c r="P667" s="8">
        <v>1.1053199999999999E-2</v>
      </c>
      <c r="Q667" s="8">
        <v>0.18634800000000001</v>
      </c>
      <c r="R667" s="8">
        <v>4.6830400000000003E-3</v>
      </c>
      <c r="S667" s="8">
        <f>Tabelle1[[#This Row],[corr_x]]/1000</f>
        <v>8.8311050000000009</v>
      </c>
      <c r="T667" s="8">
        <f>Tabelle1[[#This Row],[corr_y]]/1000</f>
        <v>6.6960200000000007</v>
      </c>
      <c r="U667" s="8">
        <f>Tabelle1[[#This Row],[corr_z]]/1000</f>
        <v>30.174999999999997</v>
      </c>
      <c r="V667" s="8">
        <f>Tabelle1[[#This Row],[corr_soma_x]]/1000</f>
        <v>3.91927</v>
      </c>
      <c r="W667" s="8">
        <f>Tabelle1[[#This Row],[corr_soma_y]]/1000</f>
        <v>5.89269</v>
      </c>
      <c r="X667" s="8">
        <f>Tabelle1[[#This Row],[corr_soma_z]]/1000</f>
        <v>0.25</v>
      </c>
    </row>
    <row r="668" spans="1:24" x14ac:dyDescent="0.35">
      <c r="A668" s="7" t="s">
        <v>16</v>
      </c>
      <c r="B668" s="7" t="s">
        <v>18</v>
      </c>
      <c r="C668" s="6">
        <v>135</v>
      </c>
      <c r="D668" s="2">
        <v>9188.1400000000012</v>
      </c>
      <c r="E668" s="2">
        <v>6793.6149999999998</v>
      </c>
      <c r="F668" s="2">
        <v>30625</v>
      </c>
      <c r="G668" s="2">
        <v>3919.27</v>
      </c>
      <c r="H668" s="2">
        <v>5892.69</v>
      </c>
      <c r="I668" s="2">
        <v>250</v>
      </c>
      <c r="J668" s="2">
        <v>9188.1400000000012</v>
      </c>
      <c r="K668" s="2">
        <v>6793.6149999999998</v>
      </c>
      <c r="L668" s="2">
        <v>30625</v>
      </c>
      <c r="M668" s="2">
        <v>3919.27</v>
      </c>
      <c r="N668" s="2">
        <v>5892.69</v>
      </c>
      <c r="O668" s="2">
        <v>250</v>
      </c>
      <c r="P668" s="8">
        <v>5.2469099999999998E-2</v>
      </c>
      <c r="Q668" s="8">
        <v>1.9008799999999999</v>
      </c>
      <c r="R668" s="8">
        <v>8.8827299999999998E-2</v>
      </c>
      <c r="S668" s="8">
        <f>Tabelle1[[#This Row],[corr_x]]/1000</f>
        <v>9.1881400000000006</v>
      </c>
      <c r="T668" s="8">
        <f>Tabelle1[[#This Row],[corr_y]]/1000</f>
        <v>6.793615</v>
      </c>
      <c r="U668" s="8">
        <f>Tabelle1[[#This Row],[corr_z]]/1000</f>
        <v>30.625</v>
      </c>
      <c r="V668" s="8">
        <f>Tabelle1[[#This Row],[corr_soma_x]]/1000</f>
        <v>3.91927</v>
      </c>
      <c r="W668" s="8">
        <f>Tabelle1[[#This Row],[corr_soma_y]]/1000</f>
        <v>5.89269</v>
      </c>
      <c r="X668" s="8">
        <f>Tabelle1[[#This Row],[corr_soma_z]]/1000</f>
        <v>0.25</v>
      </c>
    </row>
    <row r="669" spans="1:24" x14ac:dyDescent="0.35">
      <c r="A669" s="7" t="s">
        <v>16</v>
      </c>
      <c r="B669" s="7" t="s">
        <v>19</v>
      </c>
      <c r="C669" s="6">
        <v>19</v>
      </c>
      <c r="D669" s="2">
        <v>8944.9699999999993</v>
      </c>
      <c r="E669" s="2">
        <v>6827.6399999999994</v>
      </c>
      <c r="F669" s="2">
        <v>30950</v>
      </c>
      <c r="G669" s="2">
        <v>3919.27</v>
      </c>
      <c r="H669" s="2">
        <v>5892.69</v>
      </c>
      <c r="I669" s="2">
        <v>250</v>
      </c>
      <c r="J669" s="2">
        <v>8944.9699999999993</v>
      </c>
      <c r="K669" s="2">
        <v>6827.6399999999994</v>
      </c>
      <c r="L669" s="2">
        <v>30950</v>
      </c>
      <c r="M669" s="2">
        <v>3919.27</v>
      </c>
      <c r="N669" s="2">
        <v>5892.69</v>
      </c>
      <c r="O669" s="2">
        <v>250</v>
      </c>
      <c r="P669" s="8">
        <v>3.80396E-2</v>
      </c>
      <c r="Q669" s="8">
        <v>1.2188099999999999</v>
      </c>
      <c r="R669" s="8">
        <v>4.5839299999999999E-2</v>
      </c>
      <c r="S669" s="8">
        <f>Tabelle1[[#This Row],[corr_x]]/1000</f>
        <v>8.9449699999999996</v>
      </c>
      <c r="T669" s="8">
        <f>Tabelle1[[#This Row],[corr_y]]/1000</f>
        <v>6.8276399999999997</v>
      </c>
      <c r="U669" s="8">
        <f>Tabelle1[[#This Row],[corr_z]]/1000</f>
        <v>30.95</v>
      </c>
      <c r="V669" s="8">
        <f>Tabelle1[[#This Row],[corr_soma_x]]/1000</f>
        <v>3.91927</v>
      </c>
      <c r="W669" s="8">
        <f>Tabelle1[[#This Row],[corr_soma_y]]/1000</f>
        <v>5.89269</v>
      </c>
      <c r="X669" s="8">
        <f>Tabelle1[[#This Row],[corr_soma_z]]/1000</f>
        <v>0.25</v>
      </c>
    </row>
    <row r="670" spans="1:24" x14ac:dyDescent="0.35">
      <c r="A670" s="7" t="s">
        <v>16</v>
      </c>
      <c r="B670" s="7" t="s">
        <v>18</v>
      </c>
      <c r="C670" s="6">
        <v>136</v>
      </c>
      <c r="D670" s="2">
        <v>8987.2350000000006</v>
      </c>
      <c r="E670" s="2">
        <v>6538.7000000000007</v>
      </c>
      <c r="F670" s="2">
        <v>30975</v>
      </c>
      <c r="G670" s="2">
        <v>3919.27</v>
      </c>
      <c r="H670" s="2">
        <v>5892.69</v>
      </c>
      <c r="I670" s="2">
        <v>250</v>
      </c>
      <c r="J670" s="2">
        <v>8987.2350000000006</v>
      </c>
      <c r="K670" s="2">
        <v>6538.7000000000007</v>
      </c>
      <c r="L670" s="2">
        <v>30975</v>
      </c>
      <c r="M670" s="2">
        <v>3919.27</v>
      </c>
      <c r="N670" s="2">
        <v>5892.69</v>
      </c>
      <c r="O670" s="2">
        <v>250</v>
      </c>
      <c r="P670" s="8">
        <v>4.98117E-2</v>
      </c>
      <c r="Q670" s="8">
        <v>2.3865400000000001</v>
      </c>
      <c r="R670" s="8">
        <v>0.121403</v>
      </c>
      <c r="S670" s="8">
        <f>Tabelle1[[#This Row],[corr_x]]/1000</f>
        <v>8.9872350000000001</v>
      </c>
      <c r="T670" s="8">
        <f>Tabelle1[[#This Row],[corr_y]]/1000</f>
        <v>6.5387000000000004</v>
      </c>
      <c r="U670" s="8">
        <f>Tabelle1[[#This Row],[corr_z]]/1000</f>
        <v>30.975000000000001</v>
      </c>
      <c r="V670" s="8">
        <f>Tabelle1[[#This Row],[corr_soma_x]]/1000</f>
        <v>3.91927</v>
      </c>
      <c r="W670" s="8">
        <f>Tabelle1[[#This Row],[corr_soma_y]]/1000</f>
        <v>5.89269</v>
      </c>
      <c r="X670" s="8">
        <f>Tabelle1[[#This Row],[corr_soma_z]]/1000</f>
        <v>0.25</v>
      </c>
    </row>
    <row r="671" spans="1:24" x14ac:dyDescent="0.35">
      <c r="A671" s="7" t="s">
        <v>16</v>
      </c>
      <c r="B671" s="7" t="s">
        <v>18</v>
      </c>
      <c r="C671" s="6">
        <v>137</v>
      </c>
      <c r="D671" s="2">
        <v>9330.0750000000007</v>
      </c>
      <c r="E671" s="2">
        <v>6739.3050000000003</v>
      </c>
      <c r="F671" s="2">
        <v>31025</v>
      </c>
      <c r="G671" s="2">
        <v>3919.27</v>
      </c>
      <c r="H671" s="2">
        <v>5892.69</v>
      </c>
      <c r="I671" s="2">
        <v>250</v>
      </c>
      <c r="J671" s="2">
        <v>9330.0750000000007</v>
      </c>
      <c r="K671" s="2">
        <v>6739.3050000000003</v>
      </c>
      <c r="L671" s="2">
        <v>31025</v>
      </c>
      <c r="M671" s="2">
        <v>3919.27</v>
      </c>
      <c r="N671" s="2">
        <v>5892.69</v>
      </c>
      <c r="O671" s="2">
        <v>250</v>
      </c>
      <c r="P671" s="8">
        <v>3.9033100000000001E-2</v>
      </c>
      <c r="Q671" s="8">
        <v>0.89077499999999998</v>
      </c>
      <c r="R671" s="8">
        <v>4.8435100000000002E-2</v>
      </c>
      <c r="S671" s="8">
        <f>Tabelle1[[#This Row],[corr_x]]/1000</f>
        <v>9.3300750000000008</v>
      </c>
      <c r="T671" s="8">
        <f>Tabelle1[[#This Row],[corr_y]]/1000</f>
        <v>6.7393049999999999</v>
      </c>
      <c r="U671" s="8">
        <f>Tabelle1[[#This Row],[corr_z]]/1000</f>
        <v>31.024999999999999</v>
      </c>
      <c r="V671" s="8">
        <f>Tabelle1[[#This Row],[corr_soma_x]]/1000</f>
        <v>3.91927</v>
      </c>
      <c r="W671" s="8">
        <f>Tabelle1[[#This Row],[corr_soma_y]]/1000</f>
        <v>5.89269</v>
      </c>
      <c r="X671" s="8">
        <f>Tabelle1[[#This Row],[corr_soma_z]]/1000</f>
        <v>0.25</v>
      </c>
    </row>
    <row r="672" spans="1:24" x14ac:dyDescent="0.35">
      <c r="A672" s="7" t="s">
        <v>16</v>
      </c>
      <c r="B672" s="7" t="s">
        <v>18</v>
      </c>
      <c r="C672" s="6">
        <v>138</v>
      </c>
      <c r="D672" s="2">
        <v>9129.31</v>
      </c>
      <c r="E672" s="2">
        <v>6604.3050000000003</v>
      </c>
      <c r="F672" s="2">
        <v>31475</v>
      </c>
      <c r="G672" s="2">
        <v>3919.27</v>
      </c>
      <c r="H672" s="2">
        <v>5892.69</v>
      </c>
      <c r="I672" s="2">
        <v>250</v>
      </c>
      <c r="J672" s="2">
        <v>9129.31</v>
      </c>
      <c r="K672" s="2">
        <v>6604.3050000000003</v>
      </c>
      <c r="L672" s="2">
        <v>31475</v>
      </c>
      <c r="M672" s="2">
        <v>3919.27</v>
      </c>
      <c r="N672" s="2">
        <v>5892.69</v>
      </c>
      <c r="O672" s="2">
        <v>250</v>
      </c>
      <c r="P672" s="8">
        <v>4.45283E-2</v>
      </c>
      <c r="Q672" s="8">
        <v>0.68640400000000001</v>
      </c>
      <c r="R672" s="8">
        <v>3.25451E-2</v>
      </c>
      <c r="S672" s="8">
        <f>Tabelle1[[#This Row],[corr_x]]/1000</f>
        <v>9.1293100000000003</v>
      </c>
      <c r="T672" s="8">
        <f>Tabelle1[[#This Row],[corr_y]]/1000</f>
        <v>6.6043050000000001</v>
      </c>
      <c r="U672" s="8">
        <f>Tabelle1[[#This Row],[corr_z]]/1000</f>
        <v>31.475000000000001</v>
      </c>
      <c r="V672" s="8">
        <f>Tabelle1[[#This Row],[corr_soma_x]]/1000</f>
        <v>3.91927</v>
      </c>
      <c r="W672" s="8">
        <f>Tabelle1[[#This Row],[corr_soma_y]]/1000</f>
        <v>5.89269</v>
      </c>
      <c r="X672" s="8">
        <f>Tabelle1[[#This Row],[corr_soma_z]]/1000</f>
        <v>0.25</v>
      </c>
    </row>
    <row r="673" spans="1:24" x14ac:dyDescent="0.35">
      <c r="A673" s="7" t="s">
        <v>16</v>
      </c>
      <c r="B673" s="7" t="s">
        <v>18</v>
      </c>
      <c r="C673" s="6">
        <v>139</v>
      </c>
      <c r="D673" s="2">
        <v>9393.68</v>
      </c>
      <c r="E673" s="2">
        <v>7077.5000000000009</v>
      </c>
      <c r="F673" s="2">
        <v>31625</v>
      </c>
      <c r="G673" s="2">
        <v>3919.27</v>
      </c>
      <c r="H673" s="2">
        <v>5892.69</v>
      </c>
      <c r="I673" s="2">
        <v>250</v>
      </c>
      <c r="J673" s="2">
        <v>9393.68</v>
      </c>
      <c r="K673" s="2">
        <v>7077.5000000000009</v>
      </c>
      <c r="L673" s="2">
        <v>31625</v>
      </c>
      <c r="M673" s="2">
        <v>3919.27</v>
      </c>
      <c r="N673" s="2">
        <v>5892.69</v>
      </c>
      <c r="O673" s="2">
        <v>250</v>
      </c>
      <c r="P673" s="8">
        <v>5.8915500000000003E-2</v>
      </c>
      <c r="Q673" s="8">
        <v>0.89418399999999998</v>
      </c>
      <c r="R673" s="8">
        <v>5.1847499999999998E-2</v>
      </c>
      <c r="S673" s="8">
        <f>Tabelle1[[#This Row],[corr_x]]/1000</f>
        <v>9.3936799999999998</v>
      </c>
      <c r="T673" s="8">
        <f>Tabelle1[[#This Row],[corr_y]]/1000</f>
        <v>7.0775000000000006</v>
      </c>
      <c r="U673" s="8">
        <f>Tabelle1[[#This Row],[corr_z]]/1000</f>
        <v>31.625</v>
      </c>
      <c r="V673" s="8">
        <f>Tabelle1[[#This Row],[corr_soma_x]]/1000</f>
        <v>3.91927</v>
      </c>
      <c r="W673" s="8">
        <f>Tabelle1[[#This Row],[corr_soma_y]]/1000</f>
        <v>5.89269</v>
      </c>
      <c r="X673" s="8">
        <f>Tabelle1[[#This Row],[corr_soma_z]]/1000</f>
        <v>0.25</v>
      </c>
    </row>
    <row r="674" spans="1:24" x14ac:dyDescent="0.35">
      <c r="A674" s="7" t="s">
        <v>16</v>
      </c>
      <c r="B674" s="7" t="s">
        <v>18</v>
      </c>
      <c r="C674" s="6">
        <v>140</v>
      </c>
      <c r="D674" s="2">
        <v>8997.5200000000023</v>
      </c>
      <c r="E674" s="2">
        <v>6708.0649999999996</v>
      </c>
      <c r="F674" s="2">
        <v>31674.999999999996</v>
      </c>
      <c r="G674" s="2">
        <v>3919.27</v>
      </c>
      <c r="H674" s="2">
        <v>5892.69</v>
      </c>
      <c r="I674" s="2">
        <v>250</v>
      </c>
      <c r="J674" s="2">
        <v>8997.5200000000023</v>
      </c>
      <c r="K674" s="2">
        <v>6708.0649999999996</v>
      </c>
      <c r="L674" s="2">
        <v>31674.999999999996</v>
      </c>
      <c r="M674" s="2">
        <v>3919.27</v>
      </c>
      <c r="N674" s="2">
        <v>5892.69</v>
      </c>
      <c r="O674" s="2">
        <v>250</v>
      </c>
      <c r="P674" s="8">
        <v>1.78316E-2</v>
      </c>
      <c r="Q674" s="8">
        <v>0.96982800000000002</v>
      </c>
      <c r="R674" s="8">
        <v>3.6611299999999999E-2</v>
      </c>
      <c r="S674" s="8">
        <f>Tabelle1[[#This Row],[corr_x]]/1000</f>
        <v>8.9975200000000015</v>
      </c>
      <c r="T674" s="8">
        <f>Tabelle1[[#This Row],[corr_y]]/1000</f>
        <v>6.7080649999999995</v>
      </c>
      <c r="U674" s="8">
        <f>Tabelle1[[#This Row],[corr_z]]/1000</f>
        <v>31.674999999999997</v>
      </c>
      <c r="V674" s="8">
        <f>Tabelle1[[#This Row],[corr_soma_x]]/1000</f>
        <v>3.91927</v>
      </c>
      <c r="W674" s="8">
        <f>Tabelle1[[#This Row],[corr_soma_y]]/1000</f>
        <v>5.89269</v>
      </c>
      <c r="X674" s="8">
        <f>Tabelle1[[#This Row],[corr_soma_z]]/1000</f>
        <v>0.25</v>
      </c>
    </row>
    <row r="675" spans="1:24" x14ac:dyDescent="0.35">
      <c r="A675" s="7" t="s">
        <v>16</v>
      </c>
      <c r="B675" s="7" t="s">
        <v>18</v>
      </c>
      <c r="C675" s="6">
        <v>141</v>
      </c>
      <c r="D675" s="2">
        <v>9444.26</v>
      </c>
      <c r="E675" s="2">
        <v>6870.9</v>
      </c>
      <c r="F675" s="2">
        <v>31924.999999999996</v>
      </c>
      <c r="G675" s="2">
        <v>3919.27</v>
      </c>
      <c r="H675" s="2">
        <v>5892.69</v>
      </c>
      <c r="I675" s="2">
        <v>250</v>
      </c>
      <c r="J675" s="2">
        <v>9444.26</v>
      </c>
      <c r="K675" s="2">
        <v>6870.9</v>
      </c>
      <c r="L675" s="2">
        <v>31924.999999999996</v>
      </c>
      <c r="M675" s="2">
        <v>3919.27</v>
      </c>
      <c r="N675" s="2">
        <v>5892.69</v>
      </c>
      <c r="O675" s="2">
        <v>250</v>
      </c>
      <c r="P675" s="8">
        <v>8.8922299999999996E-2</v>
      </c>
      <c r="Q675" s="8">
        <v>2.0626799999999998</v>
      </c>
      <c r="R675" s="8">
        <v>0.11593199999999999</v>
      </c>
      <c r="S675" s="8">
        <f>Tabelle1[[#This Row],[corr_x]]/1000</f>
        <v>9.4442599999999999</v>
      </c>
      <c r="T675" s="8">
        <f>Tabelle1[[#This Row],[corr_y]]/1000</f>
        <v>6.8708999999999998</v>
      </c>
      <c r="U675" s="8">
        <f>Tabelle1[[#This Row],[corr_z]]/1000</f>
        <v>31.924999999999997</v>
      </c>
      <c r="V675" s="8">
        <f>Tabelle1[[#This Row],[corr_soma_x]]/1000</f>
        <v>3.91927</v>
      </c>
      <c r="W675" s="8">
        <f>Tabelle1[[#This Row],[corr_soma_y]]/1000</f>
        <v>5.89269</v>
      </c>
      <c r="X675" s="8">
        <f>Tabelle1[[#This Row],[corr_soma_z]]/1000</f>
        <v>0.25</v>
      </c>
    </row>
    <row r="676" spans="1:24" x14ac:dyDescent="0.35">
      <c r="A676" s="7" t="s">
        <v>16</v>
      </c>
      <c r="B676" s="7" t="s">
        <v>18</v>
      </c>
      <c r="C676" s="6">
        <v>142</v>
      </c>
      <c r="D676" s="2">
        <v>9439.6749999999993</v>
      </c>
      <c r="E676" s="2">
        <v>7088.2649999999994</v>
      </c>
      <c r="F676" s="2">
        <v>32475</v>
      </c>
      <c r="G676" s="2">
        <v>3919.27</v>
      </c>
      <c r="H676" s="2">
        <v>5892.69</v>
      </c>
      <c r="I676" s="2">
        <v>250</v>
      </c>
      <c r="J676" s="2">
        <v>9439.6749999999993</v>
      </c>
      <c r="K676" s="2">
        <v>7088.2649999999994</v>
      </c>
      <c r="L676" s="2">
        <v>32475</v>
      </c>
      <c r="M676" s="2">
        <v>3919.27</v>
      </c>
      <c r="N676" s="2">
        <v>5892.69</v>
      </c>
      <c r="O676" s="2">
        <v>250</v>
      </c>
      <c r="P676" s="8">
        <v>3.1561600000000002E-2</v>
      </c>
      <c r="Q676" s="8">
        <v>3.1270199999999999</v>
      </c>
      <c r="R676" s="8">
        <v>0.22087000000000001</v>
      </c>
      <c r="S676" s="8">
        <f>Tabelle1[[#This Row],[corr_x]]/1000</f>
        <v>9.4396749999999994</v>
      </c>
      <c r="T676" s="8">
        <f>Tabelle1[[#This Row],[corr_y]]/1000</f>
        <v>7.0882649999999998</v>
      </c>
      <c r="U676" s="8">
        <f>Tabelle1[[#This Row],[corr_z]]/1000</f>
        <v>32.475000000000001</v>
      </c>
      <c r="V676" s="8">
        <f>Tabelle1[[#This Row],[corr_soma_x]]/1000</f>
        <v>3.91927</v>
      </c>
      <c r="W676" s="8">
        <f>Tabelle1[[#This Row],[corr_soma_y]]/1000</f>
        <v>5.89269</v>
      </c>
      <c r="X676" s="8">
        <f>Tabelle1[[#This Row],[corr_soma_z]]/1000</f>
        <v>0.25</v>
      </c>
    </row>
    <row r="677" spans="1:24" x14ac:dyDescent="0.35">
      <c r="A677" s="7" t="s">
        <v>16</v>
      </c>
      <c r="B677" s="7" t="s">
        <v>18</v>
      </c>
      <c r="C677" s="6">
        <v>143</v>
      </c>
      <c r="D677" s="2">
        <v>9114.9850000000006</v>
      </c>
      <c r="E677" s="2">
        <v>7065.3</v>
      </c>
      <c r="F677" s="2">
        <v>32925</v>
      </c>
      <c r="G677" s="2">
        <v>3919.27</v>
      </c>
      <c r="H677" s="2">
        <v>5892.69</v>
      </c>
      <c r="I677" s="2">
        <v>250</v>
      </c>
      <c r="J677" s="2">
        <v>9114.9850000000006</v>
      </c>
      <c r="K677" s="2">
        <v>7065.3</v>
      </c>
      <c r="L677" s="2">
        <v>32925</v>
      </c>
      <c r="M677" s="2">
        <v>3919.27</v>
      </c>
      <c r="N677" s="2">
        <v>5892.69</v>
      </c>
      <c r="O677" s="2">
        <v>250</v>
      </c>
      <c r="P677" s="8">
        <v>6.8714300000000006E-2</v>
      </c>
      <c r="Q677" s="8">
        <v>2.1716099999999998</v>
      </c>
      <c r="R677" s="8">
        <v>0.23882999999999999</v>
      </c>
      <c r="S677" s="8">
        <f>Tabelle1[[#This Row],[corr_x]]/1000</f>
        <v>9.1149850000000008</v>
      </c>
      <c r="T677" s="8">
        <f>Tabelle1[[#This Row],[corr_y]]/1000</f>
        <v>7.0653000000000006</v>
      </c>
      <c r="U677" s="8">
        <f>Tabelle1[[#This Row],[corr_z]]/1000</f>
        <v>32.924999999999997</v>
      </c>
      <c r="V677" s="8">
        <f>Tabelle1[[#This Row],[corr_soma_x]]/1000</f>
        <v>3.91927</v>
      </c>
      <c r="W677" s="8">
        <f>Tabelle1[[#This Row],[corr_soma_y]]/1000</f>
        <v>5.89269</v>
      </c>
      <c r="X677" s="8">
        <f>Tabelle1[[#This Row],[corr_soma_z]]/1000</f>
        <v>0.25</v>
      </c>
    </row>
    <row r="678" spans="1:24" x14ac:dyDescent="0.35">
      <c r="A678" s="7" t="s">
        <v>16</v>
      </c>
      <c r="B678" s="7" t="s">
        <v>19</v>
      </c>
      <c r="C678" s="6">
        <v>20</v>
      </c>
      <c r="D678" s="2">
        <v>9421.7800000000007</v>
      </c>
      <c r="E678" s="2">
        <v>7190.38</v>
      </c>
      <c r="F678" s="2">
        <v>32950</v>
      </c>
      <c r="G678" s="2">
        <v>3919.27</v>
      </c>
      <c r="H678" s="2">
        <v>5892.69</v>
      </c>
      <c r="I678" s="2">
        <v>250</v>
      </c>
      <c r="J678" s="2">
        <v>9421.7800000000007</v>
      </c>
      <c r="K678" s="2">
        <v>7190.38</v>
      </c>
      <c r="L678" s="2">
        <v>32950</v>
      </c>
      <c r="M678" s="2">
        <v>3919.27</v>
      </c>
      <c r="N678" s="2">
        <v>5892.69</v>
      </c>
      <c r="O678" s="2">
        <v>250</v>
      </c>
      <c r="P678" s="8">
        <v>4.3809300000000002E-2</v>
      </c>
      <c r="Q678" s="8">
        <v>7.3520000000000003</v>
      </c>
      <c r="R678" s="8">
        <v>0.60055899999999995</v>
      </c>
      <c r="S678" s="8">
        <f>Tabelle1[[#This Row],[corr_x]]/1000</f>
        <v>9.42178</v>
      </c>
      <c r="T678" s="8">
        <f>Tabelle1[[#This Row],[corr_y]]/1000</f>
        <v>7.1903800000000002</v>
      </c>
      <c r="U678" s="8">
        <f>Tabelle1[[#This Row],[corr_z]]/1000</f>
        <v>32.950000000000003</v>
      </c>
      <c r="V678" s="8">
        <f>Tabelle1[[#This Row],[corr_soma_x]]/1000</f>
        <v>3.91927</v>
      </c>
      <c r="W678" s="8">
        <f>Tabelle1[[#This Row],[corr_soma_y]]/1000</f>
        <v>5.89269</v>
      </c>
      <c r="X678" s="8">
        <f>Tabelle1[[#This Row],[corr_soma_z]]/1000</f>
        <v>0.25</v>
      </c>
    </row>
    <row r="679" spans="1:24" x14ac:dyDescent="0.35">
      <c r="A679" s="7" t="s">
        <v>16</v>
      </c>
      <c r="B679" s="7" t="s">
        <v>18</v>
      </c>
      <c r="C679" s="6">
        <v>144</v>
      </c>
      <c r="D679" s="2">
        <v>9398.0749999999989</v>
      </c>
      <c r="E679" s="2">
        <v>7239.7</v>
      </c>
      <c r="F679" s="2">
        <v>33225</v>
      </c>
      <c r="G679" s="2">
        <v>3919.27</v>
      </c>
      <c r="H679" s="2">
        <v>5892.69</v>
      </c>
      <c r="I679" s="2">
        <v>250</v>
      </c>
      <c r="J679" s="2">
        <v>9398.0749999999989</v>
      </c>
      <c r="K679" s="2">
        <v>7239.7</v>
      </c>
      <c r="L679" s="2">
        <v>33225</v>
      </c>
      <c r="M679" s="2">
        <v>3919.27</v>
      </c>
      <c r="N679" s="2">
        <v>5892.69</v>
      </c>
      <c r="O679" s="2">
        <v>250</v>
      </c>
      <c r="P679" s="8">
        <v>3.5490800000000003E-2</v>
      </c>
      <c r="Q679" s="8">
        <v>2.6271900000000001</v>
      </c>
      <c r="R679" s="8">
        <v>0.28179199999999999</v>
      </c>
      <c r="S679" s="8">
        <f>Tabelle1[[#This Row],[corr_x]]/1000</f>
        <v>9.3980749999999986</v>
      </c>
      <c r="T679" s="8">
        <f>Tabelle1[[#This Row],[corr_y]]/1000</f>
        <v>7.2397</v>
      </c>
      <c r="U679" s="8">
        <f>Tabelle1[[#This Row],[corr_z]]/1000</f>
        <v>33.225000000000001</v>
      </c>
      <c r="V679" s="8">
        <f>Tabelle1[[#This Row],[corr_soma_x]]/1000</f>
        <v>3.91927</v>
      </c>
      <c r="W679" s="8">
        <f>Tabelle1[[#This Row],[corr_soma_y]]/1000</f>
        <v>5.89269</v>
      </c>
      <c r="X679" s="8">
        <f>Tabelle1[[#This Row],[corr_soma_z]]/1000</f>
        <v>0.25</v>
      </c>
    </row>
    <row r="680" spans="1:24" x14ac:dyDescent="0.35">
      <c r="A680" s="7" t="s">
        <v>16</v>
      </c>
      <c r="B680" s="7" t="s">
        <v>18</v>
      </c>
      <c r="C680" s="6">
        <v>145</v>
      </c>
      <c r="D680" s="2">
        <v>9187.8950000000004</v>
      </c>
      <c r="E680" s="2">
        <v>7011.8450000000003</v>
      </c>
      <c r="F680" s="2">
        <v>33575</v>
      </c>
      <c r="G680" s="2">
        <v>3919.27</v>
      </c>
      <c r="H680" s="2">
        <v>5892.69</v>
      </c>
      <c r="I680" s="2">
        <v>250</v>
      </c>
      <c r="J680" s="2">
        <v>9187.8950000000004</v>
      </c>
      <c r="K680" s="2">
        <v>7011.8450000000003</v>
      </c>
      <c r="L680" s="2">
        <v>33575</v>
      </c>
      <c r="M680" s="2">
        <v>3919.27</v>
      </c>
      <c r="N680" s="2">
        <v>5892.69</v>
      </c>
      <c r="O680" s="2">
        <v>250</v>
      </c>
      <c r="P680" s="8">
        <v>5.74601E-2</v>
      </c>
      <c r="Q680" s="8">
        <v>1.1695800000000001</v>
      </c>
      <c r="R680" s="8">
        <v>6.7887299999999998E-2</v>
      </c>
      <c r="S680" s="8">
        <f>Tabelle1[[#This Row],[corr_x]]/1000</f>
        <v>9.187895000000001</v>
      </c>
      <c r="T680" s="8">
        <f>Tabelle1[[#This Row],[corr_y]]/1000</f>
        <v>7.0118450000000001</v>
      </c>
      <c r="U680" s="8">
        <f>Tabelle1[[#This Row],[corr_z]]/1000</f>
        <v>33.575000000000003</v>
      </c>
      <c r="V680" s="8">
        <f>Tabelle1[[#This Row],[corr_soma_x]]/1000</f>
        <v>3.91927</v>
      </c>
      <c r="W680" s="8">
        <f>Tabelle1[[#This Row],[corr_soma_y]]/1000</f>
        <v>5.89269</v>
      </c>
      <c r="X680" s="8">
        <f>Tabelle1[[#This Row],[corr_soma_z]]/1000</f>
        <v>0.25</v>
      </c>
    </row>
    <row r="681" spans="1:24" x14ac:dyDescent="0.35">
      <c r="A681" s="7" t="s">
        <v>16</v>
      </c>
      <c r="B681" s="7" t="s">
        <v>18</v>
      </c>
      <c r="C681" s="6">
        <v>146</v>
      </c>
      <c r="D681" s="2">
        <v>9480.66</v>
      </c>
      <c r="E681" s="2">
        <v>7005.8600000000006</v>
      </c>
      <c r="F681" s="2">
        <v>33650</v>
      </c>
      <c r="G681" s="2">
        <v>3919.27</v>
      </c>
      <c r="H681" s="2">
        <v>5892.69</v>
      </c>
      <c r="I681" s="2">
        <v>250</v>
      </c>
      <c r="J681" s="2">
        <v>9480.66</v>
      </c>
      <c r="K681" s="2">
        <v>7005.8600000000006</v>
      </c>
      <c r="L681" s="2">
        <v>33650</v>
      </c>
      <c r="M681" s="2">
        <v>3919.27</v>
      </c>
      <c r="N681" s="2">
        <v>5892.69</v>
      </c>
      <c r="O681" s="2">
        <v>250</v>
      </c>
      <c r="P681" s="8">
        <v>2.1620500000000001E-2</v>
      </c>
      <c r="Q681" s="8">
        <v>2.1029800000000001</v>
      </c>
      <c r="R681" s="8">
        <v>0.162411</v>
      </c>
      <c r="S681" s="8">
        <f>Tabelle1[[#This Row],[corr_x]]/1000</f>
        <v>9.4806600000000003</v>
      </c>
      <c r="T681" s="8">
        <f>Tabelle1[[#This Row],[corr_y]]/1000</f>
        <v>7.0058600000000002</v>
      </c>
      <c r="U681" s="8">
        <f>Tabelle1[[#This Row],[corr_z]]/1000</f>
        <v>33.65</v>
      </c>
      <c r="V681" s="8">
        <f>Tabelle1[[#This Row],[corr_soma_x]]/1000</f>
        <v>3.91927</v>
      </c>
      <c r="W681" s="8">
        <f>Tabelle1[[#This Row],[corr_soma_y]]/1000</f>
        <v>5.89269</v>
      </c>
      <c r="X681" s="8">
        <f>Tabelle1[[#This Row],[corr_soma_z]]/1000</f>
        <v>0.25</v>
      </c>
    </row>
    <row r="682" spans="1:24" x14ac:dyDescent="0.35">
      <c r="A682" s="7" t="s">
        <v>16</v>
      </c>
      <c r="B682" s="7" t="s">
        <v>18</v>
      </c>
      <c r="C682" s="6">
        <v>147</v>
      </c>
      <c r="D682" s="2">
        <v>9061.09</v>
      </c>
      <c r="E682" s="2">
        <v>7144.92</v>
      </c>
      <c r="F682" s="2">
        <v>33850</v>
      </c>
      <c r="G682" s="2">
        <v>3919.27</v>
      </c>
      <c r="H682" s="2">
        <v>5892.69</v>
      </c>
      <c r="I682" s="2">
        <v>250</v>
      </c>
      <c r="J682" s="2">
        <v>9061.09</v>
      </c>
      <c r="K682" s="2">
        <v>7144.92</v>
      </c>
      <c r="L682" s="2">
        <v>33850</v>
      </c>
      <c r="M682" s="2">
        <v>3919.27</v>
      </c>
      <c r="N682" s="2">
        <v>5892.69</v>
      </c>
      <c r="O682" s="2">
        <v>250</v>
      </c>
      <c r="P682" s="8">
        <v>1.6357900000000002E-2</v>
      </c>
      <c r="Q682" s="8">
        <v>0.53640100000000002</v>
      </c>
      <c r="R682" s="8">
        <v>2.7837600000000001E-2</v>
      </c>
      <c r="S682" s="8">
        <f>Tabelle1[[#This Row],[corr_x]]/1000</f>
        <v>9.0610900000000001</v>
      </c>
      <c r="T682" s="8">
        <f>Tabelle1[[#This Row],[corr_y]]/1000</f>
        <v>7.1449199999999999</v>
      </c>
      <c r="U682" s="8">
        <f>Tabelle1[[#This Row],[corr_z]]/1000</f>
        <v>33.85</v>
      </c>
      <c r="V682" s="8">
        <f>Tabelle1[[#This Row],[corr_soma_x]]/1000</f>
        <v>3.91927</v>
      </c>
      <c r="W682" s="8">
        <f>Tabelle1[[#This Row],[corr_soma_y]]/1000</f>
        <v>5.89269</v>
      </c>
      <c r="X682" s="8">
        <f>Tabelle1[[#This Row],[corr_soma_z]]/1000</f>
        <v>0.25</v>
      </c>
    </row>
    <row r="683" spans="1:24" x14ac:dyDescent="0.35">
      <c r="A683" s="7" t="s">
        <v>16</v>
      </c>
      <c r="B683" s="7" t="s">
        <v>18</v>
      </c>
      <c r="C683" s="6">
        <v>148</v>
      </c>
      <c r="D683" s="2">
        <v>9240.5500000000011</v>
      </c>
      <c r="E683" s="2">
        <v>7330.68</v>
      </c>
      <c r="F683" s="2">
        <v>33950</v>
      </c>
      <c r="G683" s="2">
        <v>3919.27</v>
      </c>
      <c r="H683" s="2">
        <v>5892.69</v>
      </c>
      <c r="I683" s="2">
        <v>250</v>
      </c>
      <c r="J683" s="2">
        <v>9240.5500000000011</v>
      </c>
      <c r="K683" s="2">
        <v>7330.68</v>
      </c>
      <c r="L683" s="2">
        <v>33950</v>
      </c>
      <c r="M683" s="2">
        <v>3919.27</v>
      </c>
      <c r="N683" s="2">
        <v>5892.69</v>
      </c>
      <c r="O683" s="2">
        <v>250</v>
      </c>
      <c r="P683" s="8">
        <v>2.7302099999999999E-2</v>
      </c>
      <c r="Q683" s="8">
        <v>1.4473400000000001</v>
      </c>
      <c r="R683" s="8">
        <v>7.7088799999999999E-2</v>
      </c>
      <c r="S683" s="8">
        <f>Tabelle1[[#This Row],[corr_x]]/1000</f>
        <v>9.2405500000000007</v>
      </c>
      <c r="T683" s="8">
        <f>Tabelle1[[#This Row],[corr_y]]/1000</f>
        <v>7.3306800000000001</v>
      </c>
      <c r="U683" s="8">
        <f>Tabelle1[[#This Row],[corr_z]]/1000</f>
        <v>33.950000000000003</v>
      </c>
      <c r="V683" s="8">
        <f>Tabelle1[[#This Row],[corr_soma_x]]/1000</f>
        <v>3.91927</v>
      </c>
      <c r="W683" s="8">
        <f>Tabelle1[[#This Row],[corr_soma_y]]/1000</f>
        <v>5.89269</v>
      </c>
      <c r="X683" s="8">
        <f>Tabelle1[[#This Row],[corr_soma_z]]/1000</f>
        <v>0.25</v>
      </c>
    </row>
    <row r="684" spans="1:24" x14ac:dyDescent="0.35">
      <c r="A684" s="7" t="s">
        <v>16</v>
      </c>
      <c r="B684" s="7" t="s">
        <v>18</v>
      </c>
      <c r="C684" s="6">
        <v>149</v>
      </c>
      <c r="D684" s="2">
        <v>9581.18</v>
      </c>
      <c r="E684" s="2">
        <v>7377.75</v>
      </c>
      <c r="F684" s="2">
        <v>34050</v>
      </c>
      <c r="G684" s="2">
        <v>3919.27</v>
      </c>
      <c r="H684" s="2">
        <v>5892.69</v>
      </c>
      <c r="I684" s="2">
        <v>250</v>
      </c>
      <c r="J684" s="2">
        <v>9581.18</v>
      </c>
      <c r="K684" s="2">
        <v>7377.75</v>
      </c>
      <c r="L684" s="2">
        <v>34050</v>
      </c>
      <c r="M684" s="2">
        <v>3919.27</v>
      </c>
      <c r="N684" s="2">
        <v>5892.69</v>
      </c>
      <c r="O684" s="2">
        <v>250</v>
      </c>
      <c r="P684" s="8">
        <v>2.81531E-2</v>
      </c>
      <c r="Q684" s="8">
        <v>1.64636</v>
      </c>
      <c r="R684" s="8">
        <v>0.10508199999999999</v>
      </c>
      <c r="S684" s="8">
        <f>Tabelle1[[#This Row],[corr_x]]/1000</f>
        <v>9.5811799999999998</v>
      </c>
      <c r="T684" s="8">
        <f>Tabelle1[[#This Row],[corr_y]]/1000</f>
        <v>7.3777499999999998</v>
      </c>
      <c r="U684" s="8">
        <f>Tabelle1[[#This Row],[corr_z]]/1000</f>
        <v>34.049999999999997</v>
      </c>
      <c r="V684" s="8">
        <f>Tabelle1[[#This Row],[corr_soma_x]]/1000</f>
        <v>3.91927</v>
      </c>
      <c r="W684" s="8">
        <f>Tabelle1[[#This Row],[corr_soma_y]]/1000</f>
        <v>5.89269</v>
      </c>
      <c r="X684" s="8">
        <f>Tabelle1[[#This Row],[corr_soma_z]]/1000</f>
        <v>0.25</v>
      </c>
    </row>
    <row r="685" spans="1:24" x14ac:dyDescent="0.35">
      <c r="A685" s="7" t="s">
        <v>16</v>
      </c>
      <c r="B685" s="7" t="s">
        <v>18</v>
      </c>
      <c r="C685" s="6">
        <v>150</v>
      </c>
      <c r="D685" s="2">
        <v>9325.42</v>
      </c>
      <c r="E685" s="2">
        <v>7169.55</v>
      </c>
      <c r="F685" s="2">
        <v>34150</v>
      </c>
      <c r="G685" s="2">
        <v>3919.27</v>
      </c>
      <c r="H685" s="2">
        <v>5892.69</v>
      </c>
      <c r="I685" s="2">
        <v>250</v>
      </c>
      <c r="J685" s="2">
        <v>9325.42</v>
      </c>
      <c r="K685" s="2">
        <v>7169.55</v>
      </c>
      <c r="L685" s="2">
        <v>34150</v>
      </c>
      <c r="M685" s="2">
        <v>3919.27</v>
      </c>
      <c r="N685" s="2">
        <v>5892.69</v>
      </c>
      <c r="O685" s="2">
        <v>250</v>
      </c>
      <c r="P685" s="8">
        <v>3.04601E-2</v>
      </c>
      <c r="Q685" s="8">
        <v>1.1676599999999999</v>
      </c>
      <c r="R685" s="8">
        <v>7.6919899999999999E-2</v>
      </c>
      <c r="S685" s="8">
        <f>Tabelle1[[#This Row],[corr_x]]/1000</f>
        <v>9.3254199999999994</v>
      </c>
      <c r="T685" s="8">
        <f>Tabelle1[[#This Row],[corr_y]]/1000</f>
        <v>7.1695500000000001</v>
      </c>
      <c r="U685" s="8">
        <f>Tabelle1[[#This Row],[corr_z]]/1000</f>
        <v>34.15</v>
      </c>
      <c r="V685" s="8">
        <f>Tabelle1[[#This Row],[corr_soma_x]]/1000</f>
        <v>3.91927</v>
      </c>
      <c r="W685" s="8">
        <f>Tabelle1[[#This Row],[corr_soma_y]]/1000</f>
        <v>5.89269</v>
      </c>
      <c r="X685" s="8">
        <f>Tabelle1[[#This Row],[corr_soma_z]]/1000</f>
        <v>0.25</v>
      </c>
    </row>
    <row r="686" spans="1:24" x14ac:dyDescent="0.35">
      <c r="A686" s="7" t="s">
        <v>16</v>
      </c>
      <c r="B686" s="7" t="s">
        <v>18</v>
      </c>
      <c r="C686" s="6">
        <v>151</v>
      </c>
      <c r="D686" s="2">
        <v>9734.8449999999993</v>
      </c>
      <c r="E686" s="2">
        <v>7636.4749999999995</v>
      </c>
      <c r="F686" s="2">
        <v>34425</v>
      </c>
      <c r="G686" s="2">
        <v>3919.27</v>
      </c>
      <c r="H686" s="2">
        <v>5892.69</v>
      </c>
      <c r="I686" s="2">
        <v>250</v>
      </c>
      <c r="J686" s="2">
        <v>9734.8449999999993</v>
      </c>
      <c r="K686" s="2">
        <v>7636.4749999999995</v>
      </c>
      <c r="L686" s="2">
        <v>34425</v>
      </c>
      <c r="M686" s="2">
        <v>3919.27</v>
      </c>
      <c r="N686" s="2">
        <v>5892.69</v>
      </c>
      <c r="O686" s="2">
        <v>250</v>
      </c>
      <c r="P686" s="8">
        <v>3.5394099999999998E-2</v>
      </c>
      <c r="Q686" s="8">
        <v>0.95302500000000001</v>
      </c>
      <c r="R686" s="8">
        <v>4.8472800000000003E-2</v>
      </c>
      <c r="S686" s="8">
        <f>Tabelle1[[#This Row],[corr_x]]/1000</f>
        <v>9.734845</v>
      </c>
      <c r="T686" s="8">
        <f>Tabelle1[[#This Row],[corr_y]]/1000</f>
        <v>7.636474999999999</v>
      </c>
      <c r="U686" s="8">
        <f>Tabelle1[[#This Row],[corr_z]]/1000</f>
        <v>34.424999999999997</v>
      </c>
      <c r="V686" s="8">
        <f>Tabelle1[[#This Row],[corr_soma_x]]/1000</f>
        <v>3.91927</v>
      </c>
      <c r="W686" s="8">
        <f>Tabelle1[[#This Row],[corr_soma_y]]/1000</f>
        <v>5.89269</v>
      </c>
      <c r="X686" s="8">
        <f>Tabelle1[[#This Row],[corr_soma_z]]/1000</f>
        <v>0.25</v>
      </c>
    </row>
    <row r="687" spans="1:24" x14ac:dyDescent="0.35">
      <c r="A687" s="7" t="s">
        <v>16</v>
      </c>
      <c r="B687" s="7" t="s">
        <v>18</v>
      </c>
      <c r="C687" s="6">
        <v>152</v>
      </c>
      <c r="D687" s="2">
        <v>9714.005000000001</v>
      </c>
      <c r="E687" s="2">
        <v>8655.4699999999993</v>
      </c>
      <c r="F687" s="2">
        <v>34525</v>
      </c>
      <c r="G687" s="2">
        <v>3919.27</v>
      </c>
      <c r="H687" s="2">
        <v>5892.69</v>
      </c>
      <c r="I687" s="2">
        <v>250</v>
      </c>
      <c r="J687" s="2">
        <v>9714.005000000001</v>
      </c>
      <c r="K687" s="2">
        <v>8655.4699999999993</v>
      </c>
      <c r="L687" s="2">
        <v>34525</v>
      </c>
      <c r="M687" s="2">
        <v>3919.27</v>
      </c>
      <c r="N687" s="2">
        <v>5892.69</v>
      </c>
      <c r="O687" s="2">
        <v>250</v>
      </c>
      <c r="P687" s="8">
        <v>3.4091000000000003E-2</v>
      </c>
      <c r="Q687" s="8">
        <v>0.74001700000000004</v>
      </c>
      <c r="R687" s="8">
        <v>4.4865500000000003E-2</v>
      </c>
      <c r="S687" s="8">
        <f>Tabelle1[[#This Row],[corr_x]]/1000</f>
        <v>9.7140050000000002</v>
      </c>
      <c r="T687" s="8">
        <f>Tabelle1[[#This Row],[corr_y]]/1000</f>
        <v>8.6554699999999993</v>
      </c>
      <c r="U687" s="8">
        <f>Tabelle1[[#This Row],[corr_z]]/1000</f>
        <v>34.524999999999999</v>
      </c>
      <c r="V687" s="8">
        <f>Tabelle1[[#This Row],[corr_soma_x]]/1000</f>
        <v>3.91927</v>
      </c>
      <c r="W687" s="8">
        <f>Tabelle1[[#This Row],[corr_soma_y]]/1000</f>
        <v>5.89269</v>
      </c>
      <c r="X687" s="8">
        <f>Tabelle1[[#This Row],[corr_soma_z]]/1000</f>
        <v>0.25</v>
      </c>
    </row>
    <row r="688" spans="1:24" x14ac:dyDescent="0.35">
      <c r="A688" s="7" t="s">
        <v>16</v>
      </c>
      <c r="B688" s="7" t="s">
        <v>18</v>
      </c>
      <c r="C688" s="6">
        <v>153</v>
      </c>
      <c r="D688" s="2">
        <v>9749.2100000000009</v>
      </c>
      <c r="E688" s="2">
        <v>7429.7450000000008</v>
      </c>
      <c r="F688" s="2">
        <v>34675</v>
      </c>
      <c r="G688" s="2">
        <v>3919.27</v>
      </c>
      <c r="H688" s="2">
        <v>5892.69</v>
      </c>
      <c r="I688" s="2">
        <v>250</v>
      </c>
      <c r="J688" s="2">
        <v>9749.2100000000009</v>
      </c>
      <c r="K688" s="2">
        <v>7429.7450000000008</v>
      </c>
      <c r="L688" s="2">
        <v>34675</v>
      </c>
      <c r="M688" s="2">
        <v>3919.27</v>
      </c>
      <c r="N688" s="2">
        <v>5892.69</v>
      </c>
      <c r="O688" s="2">
        <v>250</v>
      </c>
      <c r="P688" s="8">
        <v>3.5683600000000003E-2</v>
      </c>
      <c r="Q688" s="8">
        <v>1.92258</v>
      </c>
      <c r="R688" s="8">
        <v>0.14610999999999999</v>
      </c>
      <c r="S688" s="8">
        <f>Tabelle1[[#This Row],[corr_x]]/1000</f>
        <v>9.7492100000000015</v>
      </c>
      <c r="T688" s="8">
        <f>Tabelle1[[#This Row],[corr_y]]/1000</f>
        <v>7.4297450000000005</v>
      </c>
      <c r="U688" s="8">
        <f>Tabelle1[[#This Row],[corr_z]]/1000</f>
        <v>34.674999999999997</v>
      </c>
      <c r="V688" s="8">
        <f>Tabelle1[[#This Row],[corr_soma_x]]/1000</f>
        <v>3.91927</v>
      </c>
      <c r="W688" s="8">
        <f>Tabelle1[[#This Row],[corr_soma_y]]/1000</f>
        <v>5.89269</v>
      </c>
      <c r="X688" s="8">
        <f>Tabelle1[[#This Row],[corr_soma_z]]/1000</f>
        <v>0.25</v>
      </c>
    </row>
    <row r="689" spans="1:24" x14ac:dyDescent="0.35">
      <c r="A689" s="7" t="s">
        <v>16</v>
      </c>
      <c r="B689" s="7" t="s">
        <v>18</v>
      </c>
      <c r="C689" s="6">
        <v>154</v>
      </c>
      <c r="D689" s="2">
        <v>9502.34</v>
      </c>
      <c r="E689" s="2">
        <v>7298.6849999999995</v>
      </c>
      <c r="F689" s="2">
        <v>34675</v>
      </c>
      <c r="G689" s="2">
        <v>3919.27</v>
      </c>
      <c r="H689" s="2">
        <v>5892.69</v>
      </c>
      <c r="I689" s="2">
        <v>250</v>
      </c>
      <c r="J689" s="2">
        <v>9502.34</v>
      </c>
      <c r="K689" s="2">
        <v>7298.6849999999995</v>
      </c>
      <c r="L689" s="2">
        <v>34675</v>
      </c>
      <c r="M689" s="2">
        <v>3919.27</v>
      </c>
      <c r="N689" s="2">
        <v>5892.69</v>
      </c>
      <c r="O689" s="2">
        <v>250</v>
      </c>
      <c r="P689" s="8">
        <v>3.3503499999999999E-2</v>
      </c>
      <c r="Q689" s="8">
        <v>2.2625099999999998</v>
      </c>
      <c r="R689" s="8">
        <v>0.184142</v>
      </c>
      <c r="S689" s="8">
        <f>Tabelle1[[#This Row],[corr_x]]/1000</f>
        <v>9.5023400000000002</v>
      </c>
      <c r="T689" s="8">
        <f>Tabelle1[[#This Row],[corr_y]]/1000</f>
        <v>7.2986849999999999</v>
      </c>
      <c r="U689" s="8">
        <f>Tabelle1[[#This Row],[corr_z]]/1000</f>
        <v>34.674999999999997</v>
      </c>
      <c r="V689" s="8">
        <f>Tabelle1[[#This Row],[corr_soma_x]]/1000</f>
        <v>3.91927</v>
      </c>
      <c r="W689" s="8">
        <f>Tabelle1[[#This Row],[corr_soma_y]]/1000</f>
        <v>5.89269</v>
      </c>
      <c r="X689" s="8">
        <f>Tabelle1[[#This Row],[corr_soma_z]]/1000</f>
        <v>0.25</v>
      </c>
    </row>
    <row r="690" spans="1:24" x14ac:dyDescent="0.35">
      <c r="A690" s="7" t="s">
        <v>16</v>
      </c>
      <c r="B690" s="7" t="s">
        <v>18</v>
      </c>
      <c r="C690" s="6">
        <v>155</v>
      </c>
      <c r="D690" s="2">
        <v>9737.82</v>
      </c>
      <c r="E690" s="2">
        <v>7821.125</v>
      </c>
      <c r="F690" s="2">
        <v>34825</v>
      </c>
      <c r="G690" s="2">
        <v>3919.27</v>
      </c>
      <c r="H690" s="2">
        <v>5892.69</v>
      </c>
      <c r="I690" s="2">
        <v>250</v>
      </c>
      <c r="J690" s="2">
        <v>9737.82</v>
      </c>
      <c r="K690" s="2">
        <v>7821.125</v>
      </c>
      <c r="L690" s="2">
        <v>34825</v>
      </c>
      <c r="M690" s="2">
        <v>3919.27</v>
      </c>
      <c r="N690" s="2">
        <v>5892.69</v>
      </c>
      <c r="O690" s="2">
        <v>250</v>
      </c>
      <c r="P690" s="8">
        <v>3.8561199999999997E-2</v>
      </c>
      <c r="Q690" s="8">
        <v>0.87827699999999997</v>
      </c>
      <c r="R690" s="8">
        <v>2.7374099999999998E-2</v>
      </c>
      <c r="S690" s="8">
        <f>Tabelle1[[#This Row],[corr_x]]/1000</f>
        <v>9.7378199999999993</v>
      </c>
      <c r="T690" s="8">
        <f>Tabelle1[[#This Row],[corr_y]]/1000</f>
        <v>7.8211250000000003</v>
      </c>
      <c r="U690" s="8">
        <f>Tabelle1[[#This Row],[corr_z]]/1000</f>
        <v>34.825000000000003</v>
      </c>
      <c r="V690" s="8">
        <f>Tabelle1[[#This Row],[corr_soma_x]]/1000</f>
        <v>3.91927</v>
      </c>
      <c r="W690" s="8">
        <f>Tabelle1[[#This Row],[corr_soma_y]]/1000</f>
        <v>5.89269</v>
      </c>
      <c r="X690" s="8">
        <f>Tabelle1[[#This Row],[corr_soma_z]]/1000</f>
        <v>0.25</v>
      </c>
    </row>
    <row r="691" spans="1:24" x14ac:dyDescent="0.35">
      <c r="A691" s="7" t="s">
        <v>16</v>
      </c>
      <c r="B691" s="7" t="s">
        <v>18</v>
      </c>
      <c r="C691" s="6">
        <v>156</v>
      </c>
      <c r="D691" s="2">
        <v>9469.0149999999994</v>
      </c>
      <c r="E691" s="2">
        <v>7246.6750000000002</v>
      </c>
      <c r="F691" s="2">
        <v>35225</v>
      </c>
      <c r="G691" s="2">
        <v>3919.27</v>
      </c>
      <c r="H691" s="2">
        <v>5892.69</v>
      </c>
      <c r="I691" s="2">
        <v>250</v>
      </c>
      <c r="J691" s="2">
        <v>9469.0149999999994</v>
      </c>
      <c r="K691" s="2">
        <v>7246.6750000000002</v>
      </c>
      <c r="L691" s="2">
        <v>35225</v>
      </c>
      <c r="M691" s="2">
        <v>3919.27</v>
      </c>
      <c r="N691" s="2">
        <v>5892.69</v>
      </c>
      <c r="O691" s="2">
        <v>250</v>
      </c>
      <c r="P691" s="8">
        <v>3.7842599999999997E-2</v>
      </c>
      <c r="Q691" s="8">
        <v>0.77841400000000005</v>
      </c>
      <c r="R691" s="8">
        <v>4.01708E-2</v>
      </c>
      <c r="S691" s="8">
        <f>Tabelle1[[#This Row],[corr_x]]/1000</f>
        <v>9.4690149999999988</v>
      </c>
      <c r="T691" s="8">
        <f>Tabelle1[[#This Row],[corr_y]]/1000</f>
        <v>7.2466749999999998</v>
      </c>
      <c r="U691" s="8">
        <f>Tabelle1[[#This Row],[corr_z]]/1000</f>
        <v>35.225000000000001</v>
      </c>
      <c r="V691" s="8">
        <f>Tabelle1[[#This Row],[corr_soma_x]]/1000</f>
        <v>3.91927</v>
      </c>
      <c r="W691" s="8">
        <f>Tabelle1[[#This Row],[corr_soma_y]]/1000</f>
        <v>5.89269</v>
      </c>
      <c r="X691" s="8">
        <f>Tabelle1[[#This Row],[corr_soma_z]]/1000</f>
        <v>0.25</v>
      </c>
    </row>
    <row r="692" spans="1:24" x14ac:dyDescent="0.35">
      <c r="A692" s="7" t="s">
        <v>16</v>
      </c>
      <c r="B692" s="7" t="s">
        <v>18</v>
      </c>
      <c r="C692" s="6">
        <v>157</v>
      </c>
      <c r="D692" s="2">
        <v>9905.8549999999996</v>
      </c>
      <c r="E692" s="2">
        <v>8091.21</v>
      </c>
      <c r="F692" s="2">
        <v>35475</v>
      </c>
      <c r="G692" s="2">
        <v>3919.27</v>
      </c>
      <c r="H692" s="2">
        <v>5892.69</v>
      </c>
      <c r="I692" s="2">
        <v>250</v>
      </c>
      <c r="J692" s="2">
        <v>9905.8549999999996</v>
      </c>
      <c r="K692" s="2">
        <v>8091.21</v>
      </c>
      <c r="L692" s="2">
        <v>35475</v>
      </c>
      <c r="M692" s="2">
        <v>3919.27</v>
      </c>
      <c r="N692" s="2">
        <v>5892.69</v>
      </c>
      <c r="O692" s="2">
        <v>250</v>
      </c>
      <c r="P692" s="8">
        <v>3.4773600000000002E-2</v>
      </c>
      <c r="Q692" s="8">
        <v>1.22916</v>
      </c>
      <c r="R692" s="8">
        <v>9.2602299999999999E-2</v>
      </c>
      <c r="S692" s="8">
        <f>Tabelle1[[#This Row],[corr_x]]/1000</f>
        <v>9.905854999999999</v>
      </c>
      <c r="T692" s="8">
        <f>Tabelle1[[#This Row],[corr_y]]/1000</f>
        <v>8.0912100000000002</v>
      </c>
      <c r="U692" s="8">
        <f>Tabelle1[[#This Row],[corr_z]]/1000</f>
        <v>35.475000000000001</v>
      </c>
      <c r="V692" s="8">
        <f>Tabelle1[[#This Row],[corr_soma_x]]/1000</f>
        <v>3.91927</v>
      </c>
      <c r="W692" s="8">
        <f>Tabelle1[[#This Row],[corr_soma_y]]/1000</f>
        <v>5.89269</v>
      </c>
      <c r="X692" s="8">
        <f>Tabelle1[[#This Row],[corr_soma_z]]/1000</f>
        <v>0.25</v>
      </c>
    </row>
    <row r="693" spans="1:24" x14ac:dyDescent="0.35">
      <c r="A693" s="7" t="s">
        <v>16</v>
      </c>
      <c r="B693" s="7" t="s">
        <v>18</v>
      </c>
      <c r="C693" s="6">
        <v>158</v>
      </c>
      <c r="D693" s="2">
        <v>9849.06</v>
      </c>
      <c r="E693" s="2">
        <v>7633.45</v>
      </c>
      <c r="F693" s="2">
        <v>35600</v>
      </c>
      <c r="G693" s="2">
        <v>3919.27</v>
      </c>
      <c r="H693" s="2">
        <v>5892.69</v>
      </c>
      <c r="I693" s="2">
        <v>250</v>
      </c>
      <c r="J693" s="2">
        <v>9849.06</v>
      </c>
      <c r="K693" s="2">
        <v>7633.45</v>
      </c>
      <c r="L693" s="2">
        <v>35600</v>
      </c>
      <c r="M693" s="2">
        <v>3919.27</v>
      </c>
      <c r="N693" s="2">
        <v>5892.69</v>
      </c>
      <c r="O693" s="2">
        <v>250</v>
      </c>
      <c r="P693" s="8">
        <v>2.95207E-2</v>
      </c>
      <c r="Q693" s="8">
        <v>1.3724700000000001</v>
      </c>
      <c r="R693" s="8">
        <v>5.0812000000000003E-2</v>
      </c>
      <c r="S693" s="8">
        <f>Tabelle1[[#This Row],[corr_x]]/1000</f>
        <v>9.8490599999999997</v>
      </c>
      <c r="T693" s="8">
        <f>Tabelle1[[#This Row],[corr_y]]/1000</f>
        <v>7.6334499999999998</v>
      </c>
      <c r="U693" s="8">
        <f>Tabelle1[[#This Row],[corr_z]]/1000</f>
        <v>35.6</v>
      </c>
      <c r="V693" s="8">
        <f>Tabelle1[[#This Row],[corr_soma_x]]/1000</f>
        <v>3.91927</v>
      </c>
      <c r="W693" s="8">
        <f>Tabelle1[[#This Row],[corr_soma_y]]/1000</f>
        <v>5.89269</v>
      </c>
      <c r="X693" s="8">
        <f>Tabelle1[[#This Row],[corr_soma_z]]/1000</f>
        <v>0.25</v>
      </c>
    </row>
    <row r="694" spans="1:24" x14ac:dyDescent="0.35">
      <c r="A694" s="7" t="s">
        <v>16</v>
      </c>
      <c r="B694" s="7" t="s">
        <v>18</v>
      </c>
      <c r="C694" s="6">
        <v>159</v>
      </c>
      <c r="D694" s="2">
        <v>10158.200000000001</v>
      </c>
      <c r="E694" s="2">
        <v>7882.8150000000005</v>
      </c>
      <c r="F694" s="2">
        <v>35675</v>
      </c>
      <c r="G694" s="2">
        <v>3919.27</v>
      </c>
      <c r="H694" s="2">
        <v>5892.69</v>
      </c>
      <c r="I694" s="2">
        <v>250</v>
      </c>
      <c r="J694" s="2">
        <v>10158.200000000001</v>
      </c>
      <c r="K694" s="2">
        <v>7882.8150000000005</v>
      </c>
      <c r="L694" s="2">
        <v>35675</v>
      </c>
      <c r="M694" s="2">
        <v>3919.27</v>
      </c>
      <c r="N694" s="2">
        <v>5892.69</v>
      </c>
      <c r="O694" s="2">
        <v>250</v>
      </c>
      <c r="P694" s="8">
        <v>6.3103400000000004E-2</v>
      </c>
      <c r="Q694" s="8">
        <v>0.977962</v>
      </c>
      <c r="R694" s="8">
        <v>5.4590199999999998E-2</v>
      </c>
      <c r="S694" s="8">
        <f>Tabelle1[[#This Row],[corr_x]]/1000</f>
        <v>10.158200000000001</v>
      </c>
      <c r="T694" s="8">
        <f>Tabelle1[[#This Row],[corr_y]]/1000</f>
        <v>7.8828150000000008</v>
      </c>
      <c r="U694" s="8">
        <f>Tabelle1[[#This Row],[corr_z]]/1000</f>
        <v>35.674999999999997</v>
      </c>
      <c r="V694" s="8">
        <f>Tabelle1[[#This Row],[corr_soma_x]]/1000</f>
        <v>3.91927</v>
      </c>
      <c r="W694" s="8">
        <f>Tabelle1[[#This Row],[corr_soma_y]]/1000</f>
        <v>5.89269</v>
      </c>
      <c r="X694" s="8">
        <f>Tabelle1[[#This Row],[corr_soma_z]]/1000</f>
        <v>0.25</v>
      </c>
    </row>
    <row r="695" spans="1:24" x14ac:dyDescent="0.35">
      <c r="A695" s="7" t="s">
        <v>16</v>
      </c>
      <c r="B695" s="7" t="s">
        <v>18</v>
      </c>
      <c r="C695" s="6">
        <v>160</v>
      </c>
      <c r="D695" s="2">
        <v>10170.400000000001</v>
      </c>
      <c r="E695" s="2">
        <v>8014.87</v>
      </c>
      <c r="F695" s="2">
        <v>35850</v>
      </c>
      <c r="G695" s="2">
        <v>3919.27</v>
      </c>
      <c r="H695" s="2">
        <v>5892.69</v>
      </c>
      <c r="I695" s="2">
        <v>250</v>
      </c>
      <c r="J695" s="2">
        <v>10170.400000000001</v>
      </c>
      <c r="K695" s="2">
        <v>8014.87</v>
      </c>
      <c r="L695" s="2">
        <v>35850</v>
      </c>
      <c r="M695" s="2">
        <v>3919.27</v>
      </c>
      <c r="N695" s="2">
        <v>5892.69</v>
      </c>
      <c r="O695" s="2">
        <v>250</v>
      </c>
      <c r="P695" s="8">
        <v>4.2672300000000003E-2</v>
      </c>
      <c r="Q695" s="8">
        <v>1.91255</v>
      </c>
      <c r="R695" s="8">
        <v>0.109553</v>
      </c>
      <c r="S695" s="8">
        <f>Tabelle1[[#This Row],[corr_x]]/1000</f>
        <v>10.170400000000001</v>
      </c>
      <c r="T695" s="8">
        <f>Tabelle1[[#This Row],[corr_y]]/1000</f>
        <v>8.0148700000000002</v>
      </c>
      <c r="U695" s="8">
        <f>Tabelle1[[#This Row],[corr_z]]/1000</f>
        <v>35.85</v>
      </c>
      <c r="V695" s="8">
        <f>Tabelle1[[#This Row],[corr_soma_x]]/1000</f>
        <v>3.91927</v>
      </c>
      <c r="W695" s="8">
        <f>Tabelle1[[#This Row],[corr_soma_y]]/1000</f>
        <v>5.89269</v>
      </c>
      <c r="X695" s="8">
        <f>Tabelle1[[#This Row],[corr_soma_z]]/1000</f>
        <v>0.25</v>
      </c>
    </row>
    <row r="696" spans="1:24" x14ac:dyDescent="0.35">
      <c r="A696" s="7" t="s">
        <v>16</v>
      </c>
      <c r="B696" s="7" t="s">
        <v>18</v>
      </c>
      <c r="C696" s="6">
        <v>161</v>
      </c>
      <c r="D696" s="2">
        <v>9775.1850000000013</v>
      </c>
      <c r="E696" s="2">
        <v>7809.46</v>
      </c>
      <c r="F696" s="2">
        <v>35825</v>
      </c>
      <c r="G696" s="2">
        <v>3919.27</v>
      </c>
      <c r="H696" s="2">
        <v>5892.69</v>
      </c>
      <c r="I696" s="2">
        <v>250</v>
      </c>
      <c r="J696" s="2">
        <v>9775.1850000000013</v>
      </c>
      <c r="K696" s="2">
        <v>7809.46</v>
      </c>
      <c r="L696" s="2">
        <v>35825</v>
      </c>
      <c r="M696" s="2">
        <v>3919.27</v>
      </c>
      <c r="N696" s="2">
        <v>5892.69</v>
      </c>
      <c r="O696" s="2">
        <v>250</v>
      </c>
      <c r="P696" s="8">
        <v>2.5330700000000001E-2</v>
      </c>
      <c r="Q696" s="8">
        <v>1.1520600000000001</v>
      </c>
      <c r="R696" s="8">
        <v>4.76023E-2</v>
      </c>
      <c r="S696" s="8">
        <f>Tabelle1[[#This Row],[corr_x]]/1000</f>
        <v>9.7751850000000005</v>
      </c>
      <c r="T696" s="8">
        <f>Tabelle1[[#This Row],[corr_y]]/1000</f>
        <v>7.8094599999999996</v>
      </c>
      <c r="U696" s="8">
        <f>Tabelle1[[#This Row],[corr_z]]/1000</f>
        <v>35.825000000000003</v>
      </c>
      <c r="V696" s="8">
        <f>Tabelle1[[#This Row],[corr_soma_x]]/1000</f>
        <v>3.91927</v>
      </c>
      <c r="W696" s="8">
        <f>Tabelle1[[#This Row],[corr_soma_y]]/1000</f>
        <v>5.89269</v>
      </c>
      <c r="X696" s="8">
        <f>Tabelle1[[#This Row],[corr_soma_z]]/1000</f>
        <v>0.25</v>
      </c>
    </row>
    <row r="697" spans="1:24" x14ac:dyDescent="0.35">
      <c r="A697" s="7" t="s">
        <v>16</v>
      </c>
      <c r="B697" s="7" t="s">
        <v>18</v>
      </c>
      <c r="C697" s="6">
        <v>162</v>
      </c>
      <c r="D697" s="2">
        <v>9877.16</v>
      </c>
      <c r="E697" s="2">
        <v>8582.85</v>
      </c>
      <c r="F697" s="2">
        <v>36150</v>
      </c>
      <c r="G697" s="2">
        <v>3919.27</v>
      </c>
      <c r="H697" s="2">
        <v>5892.69</v>
      </c>
      <c r="I697" s="2">
        <v>250</v>
      </c>
      <c r="J697" s="2">
        <v>9877.16</v>
      </c>
      <c r="K697" s="2">
        <v>8582.85</v>
      </c>
      <c r="L697" s="2">
        <v>36150</v>
      </c>
      <c r="M697" s="2">
        <v>3919.27</v>
      </c>
      <c r="N697" s="2">
        <v>5892.69</v>
      </c>
      <c r="O697" s="2">
        <v>250</v>
      </c>
      <c r="P697" s="8">
        <v>6.1410800000000001E-2</v>
      </c>
      <c r="Q697" s="8">
        <v>1.71404</v>
      </c>
      <c r="R697" s="8">
        <v>0.14796699999999999</v>
      </c>
      <c r="S697" s="8">
        <f>Tabelle1[[#This Row],[corr_x]]/1000</f>
        <v>9.8771599999999999</v>
      </c>
      <c r="T697" s="8">
        <f>Tabelle1[[#This Row],[corr_y]]/1000</f>
        <v>8.5828500000000005</v>
      </c>
      <c r="U697" s="8">
        <f>Tabelle1[[#This Row],[corr_z]]/1000</f>
        <v>36.15</v>
      </c>
      <c r="V697" s="8">
        <f>Tabelle1[[#This Row],[corr_soma_x]]/1000</f>
        <v>3.91927</v>
      </c>
      <c r="W697" s="8">
        <f>Tabelle1[[#This Row],[corr_soma_y]]/1000</f>
        <v>5.89269</v>
      </c>
      <c r="X697" s="8">
        <f>Tabelle1[[#This Row],[corr_soma_z]]/1000</f>
        <v>0.25</v>
      </c>
    </row>
    <row r="698" spans="1:24" x14ac:dyDescent="0.35">
      <c r="A698" s="7" t="s">
        <v>16</v>
      </c>
      <c r="B698" s="7" t="s">
        <v>19</v>
      </c>
      <c r="C698" s="6">
        <v>21</v>
      </c>
      <c r="D698" s="2">
        <v>10089.15</v>
      </c>
      <c r="E698" s="2">
        <v>7951.6750000000002</v>
      </c>
      <c r="F698" s="2">
        <v>36125</v>
      </c>
      <c r="G698" s="2">
        <v>3919.27</v>
      </c>
      <c r="H698" s="2">
        <v>5892.69</v>
      </c>
      <c r="I698" s="2">
        <v>250</v>
      </c>
      <c r="J698" s="2">
        <v>10089.15</v>
      </c>
      <c r="K698" s="2">
        <v>7951.6750000000002</v>
      </c>
      <c r="L698" s="2">
        <v>36125</v>
      </c>
      <c r="M698" s="2">
        <v>3919.27</v>
      </c>
      <c r="N698" s="2">
        <v>5892.69</v>
      </c>
      <c r="O698" s="2">
        <v>250</v>
      </c>
      <c r="P698" s="8">
        <v>3.66545E-2</v>
      </c>
      <c r="Q698" s="8">
        <v>1.3795900000000001</v>
      </c>
      <c r="R698" s="8">
        <v>7.3865399999999998E-2</v>
      </c>
      <c r="S698" s="8">
        <f>Tabelle1[[#This Row],[corr_x]]/1000</f>
        <v>10.08915</v>
      </c>
      <c r="T698" s="8">
        <f>Tabelle1[[#This Row],[corr_y]]/1000</f>
        <v>7.9516749999999998</v>
      </c>
      <c r="U698" s="8">
        <f>Tabelle1[[#This Row],[corr_z]]/1000</f>
        <v>36.125</v>
      </c>
      <c r="V698" s="8">
        <f>Tabelle1[[#This Row],[corr_soma_x]]/1000</f>
        <v>3.91927</v>
      </c>
      <c r="W698" s="8">
        <f>Tabelle1[[#This Row],[corr_soma_y]]/1000</f>
        <v>5.89269</v>
      </c>
      <c r="X698" s="8">
        <f>Tabelle1[[#This Row],[corr_soma_z]]/1000</f>
        <v>0.25</v>
      </c>
    </row>
    <row r="699" spans="1:24" x14ac:dyDescent="0.35">
      <c r="A699" s="7" t="s">
        <v>16</v>
      </c>
      <c r="B699" s="7" t="s">
        <v>18</v>
      </c>
      <c r="C699" s="6">
        <v>163</v>
      </c>
      <c r="D699" s="2">
        <v>10286.249999999998</v>
      </c>
      <c r="E699" s="2">
        <v>8293.7450000000008</v>
      </c>
      <c r="F699" s="2">
        <v>36425</v>
      </c>
      <c r="G699" s="2">
        <v>3919.27</v>
      </c>
      <c r="H699" s="2">
        <v>5892.69</v>
      </c>
      <c r="I699" s="2">
        <v>250</v>
      </c>
      <c r="J699" s="2">
        <v>10286.249999999998</v>
      </c>
      <c r="K699" s="2">
        <v>8293.7450000000008</v>
      </c>
      <c r="L699" s="2">
        <v>36425</v>
      </c>
      <c r="M699" s="2">
        <v>3919.27</v>
      </c>
      <c r="N699" s="2">
        <v>5892.69</v>
      </c>
      <c r="O699" s="2">
        <v>250</v>
      </c>
      <c r="P699" s="8">
        <v>6.66606E-2</v>
      </c>
      <c r="Q699" s="8">
        <v>1.1579299999999999</v>
      </c>
      <c r="R699" s="8">
        <v>8.5557599999999998E-2</v>
      </c>
      <c r="S699" s="8">
        <f>Tabelle1[[#This Row],[corr_x]]/1000</f>
        <v>10.286249999999999</v>
      </c>
      <c r="T699" s="8">
        <f>Tabelle1[[#This Row],[corr_y]]/1000</f>
        <v>8.2937450000000013</v>
      </c>
      <c r="U699" s="8">
        <f>Tabelle1[[#This Row],[corr_z]]/1000</f>
        <v>36.424999999999997</v>
      </c>
      <c r="V699" s="8">
        <f>Tabelle1[[#This Row],[corr_soma_x]]/1000</f>
        <v>3.91927</v>
      </c>
      <c r="W699" s="8">
        <f>Tabelle1[[#This Row],[corr_soma_y]]/1000</f>
        <v>5.89269</v>
      </c>
      <c r="X699" s="8">
        <f>Tabelle1[[#This Row],[corr_soma_z]]/1000</f>
        <v>0.25</v>
      </c>
    </row>
    <row r="700" spans="1:24" x14ac:dyDescent="0.35">
      <c r="A700" s="7" t="s">
        <v>16</v>
      </c>
      <c r="B700" s="7" t="s">
        <v>19</v>
      </c>
      <c r="C700" s="6">
        <v>22</v>
      </c>
      <c r="D700" s="2">
        <v>10222.9</v>
      </c>
      <c r="E700" s="2">
        <v>8549.64</v>
      </c>
      <c r="F700" s="2">
        <v>36500</v>
      </c>
      <c r="G700" s="2">
        <v>3919.27</v>
      </c>
      <c r="H700" s="2">
        <v>5892.69</v>
      </c>
      <c r="I700" s="2">
        <v>250</v>
      </c>
      <c r="J700" s="2">
        <v>10222.9</v>
      </c>
      <c r="K700" s="2">
        <v>8549.64</v>
      </c>
      <c r="L700" s="2">
        <v>36500</v>
      </c>
      <c r="M700" s="2">
        <v>3919.27</v>
      </c>
      <c r="N700" s="2">
        <v>5892.69</v>
      </c>
      <c r="O700" s="2">
        <v>250</v>
      </c>
      <c r="P700" s="8">
        <v>4.4960800000000002E-2</v>
      </c>
      <c r="Q700" s="8">
        <v>1.8365</v>
      </c>
      <c r="R700" s="8">
        <v>7.4354500000000004E-2</v>
      </c>
      <c r="S700" s="8">
        <f>Tabelle1[[#This Row],[corr_x]]/1000</f>
        <v>10.222899999999999</v>
      </c>
      <c r="T700" s="8">
        <f>Tabelle1[[#This Row],[corr_y]]/1000</f>
        <v>8.5496400000000001</v>
      </c>
      <c r="U700" s="8">
        <f>Tabelle1[[#This Row],[corr_z]]/1000</f>
        <v>36.5</v>
      </c>
      <c r="V700" s="8">
        <f>Tabelle1[[#This Row],[corr_soma_x]]/1000</f>
        <v>3.91927</v>
      </c>
      <c r="W700" s="8">
        <f>Tabelle1[[#This Row],[corr_soma_y]]/1000</f>
        <v>5.89269</v>
      </c>
      <c r="X700" s="8">
        <f>Tabelle1[[#This Row],[corr_soma_z]]/1000</f>
        <v>0.25</v>
      </c>
    </row>
    <row r="701" spans="1:24" x14ac:dyDescent="0.35">
      <c r="A701" s="7" t="s">
        <v>16</v>
      </c>
      <c r="B701" s="7" t="s">
        <v>18</v>
      </c>
      <c r="C701" s="6">
        <v>164</v>
      </c>
      <c r="D701" s="2">
        <v>9904.9499999999989</v>
      </c>
      <c r="E701" s="2">
        <v>8847.77</v>
      </c>
      <c r="F701" s="2">
        <v>36550</v>
      </c>
      <c r="G701" s="2">
        <v>3919.27</v>
      </c>
      <c r="H701" s="2">
        <v>5892.69</v>
      </c>
      <c r="I701" s="2">
        <v>250</v>
      </c>
      <c r="J701" s="2">
        <v>9904.9499999999989</v>
      </c>
      <c r="K701" s="2">
        <v>8847.77</v>
      </c>
      <c r="L701" s="2">
        <v>36550</v>
      </c>
      <c r="M701" s="2">
        <v>3919.27</v>
      </c>
      <c r="N701" s="2">
        <v>5892.69</v>
      </c>
      <c r="O701" s="2">
        <v>250</v>
      </c>
      <c r="P701" s="8">
        <v>2.28019E-2</v>
      </c>
      <c r="Q701" s="8">
        <v>0.838835</v>
      </c>
      <c r="R701" s="8">
        <v>4.7309700000000003E-2</v>
      </c>
      <c r="S701" s="8">
        <f>Tabelle1[[#This Row],[corr_x]]/1000</f>
        <v>9.9049499999999995</v>
      </c>
      <c r="T701" s="8">
        <f>Tabelle1[[#This Row],[corr_y]]/1000</f>
        <v>8.8477700000000006</v>
      </c>
      <c r="U701" s="8">
        <f>Tabelle1[[#This Row],[corr_z]]/1000</f>
        <v>36.549999999999997</v>
      </c>
      <c r="V701" s="8">
        <f>Tabelle1[[#This Row],[corr_soma_x]]/1000</f>
        <v>3.91927</v>
      </c>
      <c r="W701" s="8">
        <f>Tabelle1[[#This Row],[corr_soma_y]]/1000</f>
        <v>5.89269</v>
      </c>
      <c r="X701" s="8">
        <f>Tabelle1[[#This Row],[corr_soma_z]]/1000</f>
        <v>0.25</v>
      </c>
    </row>
    <row r="702" spans="1:24" x14ac:dyDescent="0.35">
      <c r="A702" s="7" t="s">
        <v>16</v>
      </c>
      <c r="B702" s="7" t="s">
        <v>18</v>
      </c>
      <c r="C702" s="6">
        <v>165</v>
      </c>
      <c r="D702" s="2">
        <v>10273.199999999999</v>
      </c>
      <c r="E702" s="2">
        <v>8708.9849999999988</v>
      </c>
      <c r="F702" s="2">
        <v>36725</v>
      </c>
      <c r="G702" s="2">
        <v>3919.27</v>
      </c>
      <c r="H702" s="2">
        <v>5892.69</v>
      </c>
      <c r="I702" s="2">
        <v>250</v>
      </c>
      <c r="J702" s="2">
        <v>10273.199999999999</v>
      </c>
      <c r="K702" s="2">
        <v>8708.9849999999988</v>
      </c>
      <c r="L702" s="2">
        <v>36725</v>
      </c>
      <c r="M702" s="2">
        <v>3919.27</v>
      </c>
      <c r="N702" s="2">
        <v>5892.69</v>
      </c>
      <c r="O702" s="2">
        <v>250</v>
      </c>
      <c r="P702" s="8">
        <v>5.79753E-2</v>
      </c>
      <c r="Q702" s="8">
        <v>1.9715199999999999</v>
      </c>
      <c r="R702" s="8">
        <v>0.107166</v>
      </c>
      <c r="S702" s="8">
        <f>Tabelle1[[#This Row],[corr_x]]/1000</f>
        <v>10.273199999999999</v>
      </c>
      <c r="T702" s="8">
        <f>Tabelle1[[#This Row],[corr_y]]/1000</f>
        <v>8.7089849999999984</v>
      </c>
      <c r="U702" s="8">
        <f>Tabelle1[[#This Row],[corr_z]]/1000</f>
        <v>36.725000000000001</v>
      </c>
      <c r="V702" s="8">
        <f>Tabelle1[[#This Row],[corr_soma_x]]/1000</f>
        <v>3.91927</v>
      </c>
      <c r="W702" s="8">
        <f>Tabelle1[[#This Row],[corr_soma_y]]/1000</f>
        <v>5.89269</v>
      </c>
      <c r="X702" s="8">
        <f>Tabelle1[[#This Row],[corr_soma_z]]/1000</f>
        <v>0.25</v>
      </c>
    </row>
    <row r="703" spans="1:24" x14ac:dyDescent="0.35">
      <c r="A703" s="7" t="s">
        <v>16</v>
      </c>
      <c r="B703" s="7" t="s">
        <v>18</v>
      </c>
      <c r="C703" s="6">
        <v>166</v>
      </c>
      <c r="D703" s="2">
        <v>10024.85</v>
      </c>
      <c r="E703" s="2">
        <v>8209.84</v>
      </c>
      <c r="F703" s="2">
        <v>36725</v>
      </c>
      <c r="G703" s="2">
        <v>3919.27</v>
      </c>
      <c r="H703" s="2">
        <v>5892.69</v>
      </c>
      <c r="I703" s="2">
        <v>250</v>
      </c>
      <c r="J703" s="2">
        <v>10024.85</v>
      </c>
      <c r="K703" s="2">
        <v>8209.84</v>
      </c>
      <c r="L703" s="2">
        <v>36725</v>
      </c>
      <c r="M703" s="2">
        <v>3919.27</v>
      </c>
      <c r="N703" s="2">
        <v>5892.69</v>
      </c>
      <c r="O703" s="2">
        <v>250</v>
      </c>
      <c r="P703" s="8">
        <v>5.2345500000000003E-2</v>
      </c>
      <c r="Q703" s="8">
        <v>1.6245799999999999</v>
      </c>
      <c r="R703" s="8">
        <v>9.7995700000000005E-2</v>
      </c>
      <c r="S703" s="8">
        <f>Tabelle1[[#This Row],[corr_x]]/1000</f>
        <v>10.024850000000001</v>
      </c>
      <c r="T703" s="8">
        <f>Tabelle1[[#This Row],[corr_y]]/1000</f>
        <v>8.2098399999999998</v>
      </c>
      <c r="U703" s="8">
        <f>Tabelle1[[#This Row],[corr_z]]/1000</f>
        <v>36.725000000000001</v>
      </c>
      <c r="V703" s="8">
        <f>Tabelle1[[#This Row],[corr_soma_x]]/1000</f>
        <v>3.91927</v>
      </c>
      <c r="W703" s="8">
        <f>Tabelle1[[#This Row],[corr_soma_y]]/1000</f>
        <v>5.89269</v>
      </c>
      <c r="X703" s="8">
        <f>Tabelle1[[#This Row],[corr_soma_z]]/1000</f>
        <v>0.25</v>
      </c>
    </row>
    <row r="704" spans="1:24" x14ac:dyDescent="0.35">
      <c r="A704" s="7" t="s">
        <v>16</v>
      </c>
      <c r="B704" s="7" t="s">
        <v>18</v>
      </c>
      <c r="C704" s="6">
        <v>167</v>
      </c>
      <c r="D704" s="2">
        <v>6562.91</v>
      </c>
      <c r="E704" s="2">
        <v>5874.27</v>
      </c>
      <c r="F704" s="2">
        <v>37100</v>
      </c>
      <c r="G704" s="2">
        <v>3919.27</v>
      </c>
      <c r="H704" s="2">
        <v>5892.69</v>
      </c>
      <c r="I704" s="2">
        <v>250</v>
      </c>
      <c r="J704" s="2">
        <v>6562.91</v>
      </c>
      <c r="K704" s="2">
        <v>5874.27</v>
      </c>
      <c r="L704" s="2">
        <v>37100</v>
      </c>
      <c r="M704" s="2">
        <v>3919.27</v>
      </c>
      <c r="N704" s="2">
        <v>5892.69</v>
      </c>
      <c r="O704" s="2">
        <v>250</v>
      </c>
      <c r="P704" s="8">
        <v>8.4567000000000003E-2</v>
      </c>
      <c r="Q704" s="8">
        <v>1.0058</v>
      </c>
      <c r="R704" s="8">
        <v>7.8045199999999995E-2</v>
      </c>
      <c r="S704" s="8">
        <f>Tabelle1[[#This Row],[corr_x]]/1000</f>
        <v>6.5629099999999996</v>
      </c>
      <c r="T704" s="8">
        <f>Tabelle1[[#This Row],[corr_y]]/1000</f>
        <v>5.8742700000000001</v>
      </c>
      <c r="U704" s="8">
        <f>Tabelle1[[#This Row],[corr_z]]/1000</f>
        <v>37.1</v>
      </c>
      <c r="V704" s="8">
        <f>Tabelle1[[#This Row],[corr_soma_x]]/1000</f>
        <v>3.91927</v>
      </c>
      <c r="W704" s="8">
        <f>Tabelle1[[#This Row],[corr_soma_y]]/1000</f>
        <v>5.89269</v>
      </c>
      <c r="X704" s="8">
        <f>Tabelle1[[#This Row],[corr_soma_z]]/1000</f>
        <v>0.25</v>
      </c>
    </row>
    <row r="705" spans="1:24" x14ac:dyDescent="0.35">
      <c r="A705" s="7" t="s">
        <v>16</v>
      </c>
      <c r="B705" s="7" t="s">
        <v>18</v>
      </c>
      <c r="C705" s="6">
        <v>168</v>
      </c>
      <c r="D705" s="2">
        <v>10106.5</v>
      </c>
      <c r="E705" s="2">
        <v>8616.3549999999996</v>
      </c>
      <c r="F705" s="2">
        <v>37825</v>
      </c>
      <c r="G705" s="2">
        <v>3919.27</v>
      </c>
      <c r="H705" s="2">
        <v>5892.69</v>
      </c>
      <c r="I705" s="2">
        <v>250</v>
      </c>
      <c r="J705" s="2">
        <v>10106.5</v>
      </c>
      <c r="K705" s="2">
        <v>8616.3549999999996</v>
      </c>
      <c r="L705" s="2">
        <v>37825</v>
      </c>
      <c r="M705" s="2">
        <v>3919.27</v>
      </c>
      <c r="N705" s="2">
        <v>5892.69</v>
      </c>
      <c r="O705" s="2">
        <v>250</v>
      </c>
      <c r="P705" s="8">
        <v>8.1073900000000004E-2</v>
      </c>
      <c r="Q705" s="8">
        <v>1.0022500000000001</v>
      </c>
      <c r="R705" s="8">
        <v>7.4062500000000003E-2</v>
      </c>
      <c r="S705" s="8">
        <f>Tabelle1[[#This Row],[corr_x]]/1000</f>
        <v>10.1065</v>
      </c>
      <c r="T705" s="8">
        <f>Tabelle1[[#This Row],[corr_y]]/1000</f>
        <v>8.6163550000000004</v>
      </c>
      <c r="U705" s="8">
        <f>Tabelle1[[#This Row],[corr_z]]/1000</f>
        <v>37.825000000000003</v>
      </c>
      <c r="V705" s="8">
        <f>Tabelle1[[#This Row],[corr_soma_x]]/1000</f>
        <v>3.91927</v>
      </c>
      <c r="W705" s="8">
        <f>Tabelle1[[#This Row],[corr_soma_y]]/1000</f>
        <v>5.89269</v>
      </c>
      <c r="X705" s="8">
        <f>Tabelle1[[#This Row],[corr_soma_z]]/1000</f>
        <v>0.25</v>
      </c>
    </row>
    <row r="706" spans="1:24" x14ac:dyDescent="0.35">
      <c r="A706" s="7" t="s">
        <v>16</v>
      </c>
      <c r="B706" s="7" t="s">
        <v>18</v>
      </c>
      <c r="C706" s="6">
        <v>169</v>
      </c>
      <c r="D706" s="2">
        <v>9904.08</v>
      </c>
      <c r="E706" s="2">
        <v>8741.92</v>
      </c>
      <c r="F706" s="2">
        <v>38050</v>
      </c>
      <c r="G706" s="2">
        <v>3919.27</v>
      </c>
      <c r="H706" s="2">
        <v>5892.69</v>
      </c>
      <c r="I706" s="2">
        <v>250</v>
      </c>
      <c r="J706" s="2">
        <v>9904.08</v>
      </c>
      <c r="K706" s="2">
        <v>8741.92</v>
      </c>
      <c r="L706" s="2">
        <v>38050</v>
      </c>
      <c r="M706" s="2">
        <v>3919.27</v>
      </c>
      <c r="N706" s="2">
        <v>5892.69</v>
      </c>
      <c r="O706" s="2">
        <v>250</v>
      </c>
      <c r="P706" s="8">
        <v>4.6465699999999999E-2</v>
      </c>
      <c r="Q706" s="8">
        <v>1.2915399999999999</v>
      </c>
      <c r="R706" s="8">
        <v>7.3072200000000004E-2</v>
      </c>
      <c r="S706" s="8">
        <f>Tabelle1[[#This Row],[corr_x]]/1000</f>
        <v>9.9040800000000004</v>
      </c>
      <c r="T706" s="8">
        <f>Tabelle1[[#This Row],[corr_y]]/1000</f>
        <v>8.7419200000000004</v>
      </c>
      <c r="U706" s="8">
        <f>Tabelle1[[#This Row],[corr_z]]/1000</f>
        <v>38.049999999999997</v>
      </c>
      <c r="V706" s="8">
        <f>Tabelle1[[#This Row],[corr_soma_x]]/1000</f>
        <v>3.91927</v>
      </c>
      <c r="W706" s="8">
        <f>Tabelle1[[#This Row],[corr_soma_y]]/1000</f>
        <v>5.89269</v>
      </c>
      <c r="X706" s="8">
        <f>Tabelle1[[#This Row],[corr_soma_z]]/1000</f>
        <v>0.25</v>
      </c>
    </row>
    <row r="707" spans="1:24" x14ac:dyDescent="0.35">
      <c r="A707" s="7" t="s">
        <v>16</v>
      </c>
      <c r="B707" s="7" t="s">
        <v>18</v>
      </c>
      <c r="C707" s="6">
        <v>170</v>
      </c>
      <c r="D707" s="2">
        <v>10423.700000000001</v>
      </c>
      <c r="E707" s="2">
        <v>9005.9</v>
      </c>
      <c r="F707" s="2">
        <v>37850</v>
      </c>
      <c r="G707" s="2">
        <v>3919.27</v>
      </c>
      <c r="H707" s="2">
        <v>5892.69</v>
      </c>
      <c r="I707" s="2">
        <v>250</v>
      </c>
      <c r="J707" s="2">
        <v>10423.700000000001</v>
      </c>
      <c r="K707" s="2">
        <v>9005.9</v>
      </c>
      <c r="L707" s="2">
        <v>37850</v>
      </c>
      <c r="M707" s="2">
        <v>3919.27</v>
      </c>
      <c r="N707" s="2">
        <v>5892.69</v>
      </c>
      <c r="O707" s="2">
        <v>250</v>
      </c>
      <c r="P707" s="8">
        <v>4.4700900000000002E-2</v>
      </c>
      <c r="Q707" s="8">
        <v>2.5972300000000001</v>
      </c>
      <c r="R707" s="8">
        <v>0.178812</v>
      </c>
      <c r="S707" s="8">
        <f>Tabelle1[[#This Row],[corr_x]]/1000</f>
        <v>10.4237</v>
      </c>
      <c r="T707" s="8">
        <f>Tabelle1[[#This Row],[corr_y]]/1000</f>
        <v>9.0059000000000005</v>
      </c>
      <c r="U707" s="8">
        <f>Tabelle1[[#This Row],[corr_z]]/1000</f>
        <v>37.85</v>
      </c>
      <c r="V707" s="8">
        <f>Tabelle1[[#This Row],[corr_soma_x]]/1000</f>
        <v>3.91927</v>
      </c>
      <c r="W707" s="8">
        <f>Tabelle1[[#This Row],[corr_soma_y]]/1000</f>
        <v>5.89269</v>
      </c>
      <c r="X707" s="8">
        <f>Tabelle1[[#This Row],[corr_soma_z]]/1000</f>
        <v>0.25</v>
      </c>
    </row>
    <row r="708" spans="1:24" x14ac:dyDescent="0.35">
      <c r="A708" s="7" t="s">
        <v>16</v>
      </c>
      <c r="B708" s="7" t="s">
        <v>18</v>
      </c>
      <c r="C708" s="6">
        <v>171</v>
      </c>
      <c r="D708" s="2">
        <v>10164.049999999999</v>
      </c>
      <c r="E708" s="2">
        <v>9029.9499999999989</v>
      </c>
      <c r="F708" s="2">
        <v>38375</v>
      </c>
      <c r="G708" s="2">
        <v>3919.27</v>
      </c>
      <c r="H708" s="2">
        <v>5892.69</v>
      </c>
      <c r="I708" s="2">
        <v>250</v>
      </c>
      <c r="J708" s="2">
        <v>10164.049999999999</v>
      </c>
      <c r="K708" s="2">
        <v>9029.9499999999989</v>
      </c>
      <c r="L708" s="2">
        <v>38375</v>
      </c>
      <c r="M708" s="2">
        <v>3919.27</v>
      </c>
      <c r="N708" s="2">
        <v>5892.69</v>
      </c>
      <c r="O708" s="2">
        <v>250</v>
      </c>
      <c r="P708" s="8">
        <v>3.0588500000000001E-2</v>
      </c>
      <c r="Q708" s="8">
        <v>1.0212600000000001</v>
      </c>
      <c r="R708" s="8">
        <v>6.7025399999999999E-2</v>
      </c>
      <c r="S708" s="8">
        <f>Tabelle1[[#This Row],[corr_x]]/1000</f>
        <v>10.16405</v>
      </c>
      <c r="T708" s="8">
        <f>Tabelle1[[#This Row],[corr_y]]/1000</f>
        <v>9.0299499999999995</v>
      </c>
      <c r="U708" s="8">
        <f>Tabelle1[[#This Row],[corr_z]]/1000</f>
        <v>38.375</v>
      </c>
      <c r="V708" s="8">
        <f>Tabelle1[[#This Row],[corr_soma_x]]/1000</f>
        <v>3.91927</v>
      </c>
      <c r="W708" s="8">
        <f>Tabelle1[[#This Row],[corr_soma_y]]/1000</f>
        <v>5.89269</v>
      </c>
      <c r="X708" s="8">
        <f>Tabelle1[[#This Row],[corr_soma_z]]/1000</f>
        <v>0.25</v>
      </c>
    </row>
    <row r="709" spans="1:24" x14ac:dyDescent="0.35">
      <c r="A709" s="7" t="s">
        <v>16</v>
      </c>
      <c r="B709" s="7" t="s">
        <v>18</v>
      </c>
      <c r="C709" s="6">
        <v>172</v>
      </c>
      <c r="D709" s="2">
        <v>10696.45</v>
      </c>
      <c r="E709" s="2">
        <v>9256.52</v>
      </c>
      <c r="F709" s="2">
        <v>38425</v>
      </c>
      <c r="G709" s="2">
        <v>3919.27</v>
      </c>
      <c r="H709" s="2">
        <v>5892.69</v>
      </c>
      <c r="I709" s="2">
        <v>250</v>
      </c>
      <c r="J709" s="2">
        <v>10696.45</v>
      </c>
      <c r="K709" s="2">
        <v>9256.52</v>
      </c>
      <c r="L709" s="2">
        <v>38425</v>
      </c>
      <c r="M709" s="2">
        <v>3919.27</v>
      </c>
      <c r="N709" s="2">
        <v>5892.69</v>
      </c>
      <c r="O709" s="2">
        <v>250</v>
      </c>
      <c r="P709" s="8">
        <v>2.32388E-2</v>
      </c>
      <c r="Q709" s="8">
        <v>0.63454600000000005</v>
      </c>
      <c r="R709" s="8">
        <v>2.63983E-2</v>
      </c>
      <c r="S709" s="8">
        <f>Tabelle1[[#This Row],[corr_x]]/1000</f>
        <v>10.69645</v>
      </c>
      <c r="T709" s="8">
        <f>Tabelle1[[#This Row],[corr_y]]/1000</f>
        <v>9.2565200000000001</v>
      </c>
      <c r="U709" s="8">
        <f>Tabelle1[[#This Row],[corr_z]]/1000</f>
        <v>38.424999999999997</v>
      </c>
      <c r="V709" s="8">
        <f>Tabelle1[[#This Row],[corr_soma_x]]/1000</f>
        <v>3.91927</v>
      </c>
      <c r="W709" s="8">
        <f>Tabelle1[[#This Row],[corr_soma_y]]/1000</f>
        <v>5.89269</v>
      </c>
      <c r="X709" s="8">
        <f>Tabelle1[[#This Row],[corr_soma_z]]/1000</f>
        <v>0.25</v>
      </c>
    </row>
    <row r="710" spans="1:24" x14ac:dyDescent="0.35">
      <c r="A710" s="7" t="s">
        <v>16</v>
      </c>
      <c r="B710" s="7" t="s">
        <v>18</v>
      </c>
      <c r="C710" s="6">
        <v>173</v>
      </c>
      <c r="D710" s="2">
        <v>10354</v>
      </c>
      <c r="E710" s="2">
        <v>9511.7200000000012</v>
      </c>
      <c r="F710" s="2">
        <v>38500</v>
      </c>
      <c r="G710" s="2">
        <v>3919.27</v>
      </c>
      <c r="H710" s="2">
        <v>5892.69</v>
      </c>
      <c r="I710" s="2">
        <v>250</v>
      </c>
      <c r="J710" s="2">
        <v>10354</v>
      </c>
      <c r="K710" s="2">
        <v>9511.7200000000012</v>
      </c>
      <c r="L710" s="2">
        <v>38500</v>
      </c>
      <c r="M710" s="2">
        <v>3919.27</v>
      </c>
      <c r="N710" s="2">
        <v>5892.69</v>
      </c>
      <c r="O710" s="2">
        <v>250</v>
      </c>
      <c r="P710" s="8">
        <v>8.6445400000000006E-2</v>
      </c>
      <c r="Q710" s="8">
        <v>1.62744</v>
      </c>
      <c r="R710" s="8">
        <v>0.16254399999999999</v>
      </c>
      <c r="S710" s="8">
        <f>Tabelle1[[#This Row],[corr_x]]/1000</f>
        <v>10.353999999999999</v>
      </c>
      <c r="T710" s="8">
        <f>Tabelle1[[#This Row],[corr_y]]/1000</f>
        <v>9.5117200000000004</v>
      </c>
      <c r="U710" s="8">
        <f>Tabelle1[[#This Row],[corr_z]]/1000</f>
        <v>38.5</v>
      </c>
      <c r="V710" s="8">
        <f>Tabelle1[[#This Row],[corr_soma_x]]/1000</f>
        <v>3.91927</v>
      </c>
      <c r="W710" s="8">
        <f>Tabelle1[[#This Row],[corr_soma_y]]/1000</f>
        <v>5.89269</v>
      </c>
      <c r="X710" s="8">
        <f>Tabelle1[[#This Row],[corr_soma_z]]/1000</f>
        <v>0.25</v>
      </c>
    </row>
    <row r="711" spans="1:24" x14ac:dyDescent="0.35">
      <c r="A711" s="7" t="s">
        <v>16</v>
      </c>
      <c r="B711" s="7" t="s">
        <v>18</v>
      </c>
      <c r="C711" s="6">
        <v>174</v>
      </c>
      <c r="D711" s="2">
        <v>10291.950000000001</v>
      </c>
      <c r="E711" s="2">
        <v>9006.9599999999991</v>
      </c>
      <c r="F711" s="2">
        <v>38625</v>
      </c>
      <c r="G711" s="2">
        <v>3919.27</v>
      </c>
      <c r="H711" s="2">
        <v>5892.69</v>
      </c>
      <c r="I711" s="2">
        <v>250</v>
      </c>
      <c r="J711" s="2">
        <v>10291.950000000001</v>
      </c>
      <c r="K711" s="2">
        <v>9006.9599999999991</v>
      </c>
      <c r="L711" s="2">
        <v>38625</v>
      </c>
      <c r="M711" s="2">
        <v>3919.27</v>
      </c>
      <c r="N711" s="2">
        <v>5892.69</v>
      </c>
      <c r="O711" s="2">
        <v>250</v>
      </c>
      <c r="P711" s="8">
        <v>1.8233300000000001E-2</v>
      </c>
      <c r="Q711" s="8">
        <v>2.2555399999999999</v>
      </c>
      <c r="R711" s="8">
        <v>0.214341</v>
      </c>
      <c r="S711" s="8">
        <f>Tabelle1[[#This Row],[corr_x]]/1000</f>
        <v>10.29195</v>
      </c>
      <c r="T711" s="8">
        <f>Tabelle1[[#This Row],[corr_y]]/1000</f>
        <v>9.0069599999999994</v>
      </c>
      <c r="U711" s="8">
        <f>Tabelle1[[#This Row],[corr_z]]/1000</f>
        <v>38.625</v>
      </c>
      <c r="V711" s="8">
        <f>Tabelle1[[#This Row],[corr_soma_x]]/1000</f>
        <v>3.91927</v>
      </c>
      <c r="W711" s="8">
        <f>Tabelle1[[#This Row],[corr_soma_y]]/1000</f>
        <v>5.89269</v>
      </c>
      <c r="X711" s="8">
        <f>Tabelle1[[#This Row],[corr_soma_z]]/1000</f>
        <v>0.25</v>
      </c>
    </row>
    <row r="712" spans="1:24" x14ac:dyDescent="0.35">
      <c r="A712" s="7" t="s">
        <v>16</v>
      </c>
      <c r="B712" s="7" t="s">
        <v>18</v>
      </c>
      <c r="C712" s="6">
        <v>175</v>
      </c>
      <c r="D712" s="2">
        <v>10643.25</v>
      </c>
      <c r="E712" s="2">
        <v>9375.14</v>
      </c>
      <c r="F712" s="2">
        <v>38775</v>
      </c>
      <c r="G712" s="2">
        <v>3919.27</v>
      </c>
      <c r="H712" s="2">
        <v>5892.69</v>
      </c>
      <c r="I712" s="2">
        <v>250</v>
      </c>
      <c r="J712" s="2">
        <v>10643.25</v>
      </c>
      <c r="K712" s="2">
        <v>9375.14</v>
      </c>
      <c r="L712" s="2">
        <v>38775</v>
      </c>
      <c r="M712" s="2">
        <v>3919.27</v>
      </c>
      <c r="N712" s="2">
        <v>5892.69</v>
      </c>
      <c r="O712" s="2">
        <v>250</v>
      </c>
      <c r="P712" s="8">
        <v>2.4437500000000001E-2</v>
      </c>
      <c r="Q712" s="8">
        <v>0.91744400000000004</v>
      </c>
      <c r="R712" s="8">
        <v>4.9419699999999997E-2</v>
      </c>
      <c r="S712" s="8">
        <f>Tabelle1[[#This Row],[corr_x]]/1000</f>
        <v>10.64325</v>
      </c>
      <c r="T712" s="8">
        <f>Tabelle1[[#This Row],[corr_y]]/1000</f>
        <v>9.37514</v>
      </c>
      <c r="U712" s="8">
        <f>Tabelle1[[#This Row],[corr_z]]/1000</f>
        <v>38.774999999999999</v>
      </c>
      <c r="V712" s="8">
        <f>Tabelle1[[#This Row],[corr_soma_x]]/1000</f>
        <v>3.91927</v>
      </c>
      <c r="W712" s="8">
        <f>Tabelle1[[#This Row],[corr_soma_y]]/1000</f>
        <v>5.89269</v>
      </c>
      <c r="X712" s="8">
        <f>Tabelle1[[#This Row],[corr_soma_z]]/1000</f>
        <v>0.25</v>
      </c>
    </row>
    <row r="713" spans="1:24" x14ac:dyDescent="0.35">
      <c r="A713" s="7" t="s">
        <v>16</v>
      </c>
      <c r="B713" s="7" t="s">
        <v>18</v>
      </c>
      <c r="C713" s="6">
        <v>176</v>
      </c>
      <c r="D713" s="2">
        <v>10380.800000000001</v>
      </c>
      <c r="E713" s="2">
        <v>9488.84</v>
      </c>
      <c r="F713" s="2">
        <v>39175</v>
      </c>
      <c r="G713" s="2">
        <v>3919.27</v>
      </c>
      <c r="H713" s="2">
        <v>5892.69</v>
      </c>
      <c r="I713" s="2">
        <v>250</v>
      </c>
      <c r="J713" s="2">
        <v>10380.800000000001</v>
      </c>
      <c r="K713" s="2">
        <v>9488.84</v>
      </c>
      <c r="L713" s="2">
        <v>39175</v>
      </c>
      <c r="M713" s="2">
        <v>3919.27</v>
      </c>
      <c r="N713" s="2">
        <v>5892.69</v>
      </c>
      <c r="O713" s="2">
        <v>250</v>
      </c>
      <c r="P713" s="8">
        <v>4.4529199999999998E-2</v>
      </c>
      <c r="Q713" s="8">
        <v>1.58318</v>
      </c>
      <c r="R713" s="8">
        <v>0.11473899999999999</v>
      </c>
      <c r="S713" s="8">
        <f>Tabelle1[[#This Row],[corr_x]]/1000</f>
        <v>10.380800000000001</v>
      </c>
      <c r="T713" s="8">
        <f>Tabelle1[[#This Row],[corr_y]]/1000</f>
        <v>9.4888399999999997</v>
      </c>
      <c r="U713" s="8">
        <f>Tabelle1[[#This Row],[corr_z]]/1000</f>
        <v>39.174999999999997</v>
      </c>
      <c r="V713" s="8">
        <f>Tabelle1[[#This Row],[corr_soma_x]]/1000</f>
        <v>3.91927</v>
      </c>
      <c r="W713" s="8">
        <f>Tabelle1[[#This Row],[corr_soma_y]]/1000</f>
        <v>5.89269</v>
      </c>
      <c r="X713" s="8">
        <f>Tabelle1[[#This Row],[corr_soma_z]]/1000</f>
        <v>0.25</v>
      </c>
    </row>
    <row r="714" spans="1:24" x14ac:dyDescent="0.35">
      <c r="A714" s="7" t="s">
        <v>16</v>
      </c>
      <c r="B714" s="7" t="s">
        <v>18</v>
      </c>
      <c r="C714" s="6">
        <v>177</v>
      </c>
      <c r="D714" s="2">
        <v>10756.7</v>
      </c>
      <c r="E714" s="2">
        <v>9247.1200000000008</v>
      </c>
      <c r="F714" s="2">
        <v>39100</v>
      </c>
      <c r="G714" s="2">
        <v>3919.27</v>
      </c>
      <c r="H714" s="2">
        <v>5892.69</v>
      </c>
      <c r="I714" s="2">
        <v>250</v>
      </c>
      <c r="J714" s="2">
        <v>10756.7</v>
      </c>
      <c r="K714" s="2">
        <v>9247.1200000000008</v>
      </c>
      <c r="L714" s="2">
        <v>39100</v>
      </c>
      <c r="M714" s="2">
        <v>3919.27</v>
      </c>
      <c r="N714" s="2">
        <v>5892.69</v>
      </c>
      <c r="O714" s="2">
        <v>250</v>
      </c>
      <c r="P714" s="8">
        <v>3.9577500000000002E-2</v>
      </c>
      <c r="Q714" s="8">
        <v>0.93715800000000005</v>
      </c>
      <c r="R714" s="8">
        <v>6.3780500000000004E-2</v>
      </c>
      <c r="S714" s="8">
        <f>Tabelle1[[#This Row],[corr_x]]/1000</f>
        <v>10.7567</v>
      </c>
      <c r="T714" s="8">
        <f>Tabelle1[[#This Row],[corr_y]]/1000</f>
        <v>9.2471200000000007</v>
      </c>
      <c r="U714" s="8">
        <f>Tabelle1[[#This Row],[corr_z]]/1000</f>
        <v>39.1</v>
      </c>
      <c r="V714" s="8">
        <f>Tabelle1[[#This Row],[corr_soma_x]]/1000</f>
        <v>3.91927</v>
      </c>
      <c r="W714" s="8">
        <f>Tabelle1[[#This Row],[corr_soma_y]]/1000</f>
        <v>5.89269</v>
      </c>
      <c r="X714" s="8">
        <f>Tabelle1[[#This Row],[corr_soma_z]]/1000</f>
        <v>0.25</v>
      </c>
    </row>
    <row r="715" spans="1:24" x14ac:dyDescent="0.35">
      <c r="A715" s="7" t="s">
        <v>16</v>
      </c>
      <c r="B715" s="7" t="s">
        <v>18</v>
      </c>
      <c r="C715" s="6">
        <v>178</v>
      </c>
      <c r="D715" s="2">
        <v>10397.950000000001</v>
      </c>
      <c r="E715" s="2">
        <v>9371.5149999999994</v>
      </c>
      <c r="F715" s="2">
        <v>39375</v>
      </c>
      <c r="G715" s="2">
        <v>3919.27</v>
      </c>
      <c r="H715" s="2">
        <v>5892.69</v>
      </c>
      <c r="I715" s="2">
        <v>250</v>
      </c>
      <c r="J715" s="2">
        <v>10397.950000000001</v>
      </c>
      <c r="K715" s="2">
        <v>9371.5149999999994</v>
      </c>
      <c r="L715" s="2">
        <v>39375</v>
      </c>
      <c r="M715" s="2">
        <v>3919.27</v>
      </c>
      <c r="N715" s="2">
        <v>5892.69</v>
      </c>
      <c r="O715" s="2">
        <v>250</v>
      </c>
      <c r="P715" s="8">
        <v>2.1954000000000001E-2</v>
      </c>
      <c r="Q715" s="8">
        <v>0.698851</v>
      </c>
      <c r="R715" s="8">
        <v>4.7908899999999997E-2</v>
      </c>
      <c r="S715" s="8">
        <f>Tabelle1[[#This Row],[corr_x]]/1000</f>
        <v>10.397950000000002</v>
      </c>
      <c r="T715" s="8">
        <f>Tabelle1[[#This Row],[corr_y]]/1000</f>
        <v>9.3715149999999987</v>
      </c>
      <c r="U715" s="8">
        <f>Tabelle1[[#This Row],[corr_z]]/1000</f>
        <v>39.375</v>
      </c>
      <c r="V715" s="8">
        <f>Tabelle1[[#This Row],[corr_soma_x]]/1000</f>
        <v>3.91927</v>
      </c>
      <c r="W715" s="8">
        <f>Tabelle1[[#This Row],[corr_soma_y]]/1000</f>
        <v>5.89269</v>
      </c>
      <c r="X715" s="8">
        <f>Tabelle1[[#This Row],[corr_soma_z]]/1000</f>
        <v>0.25</v>
      </c>
    </row>
    <row r="716" spans="1:24" x14ac:dyDescent="0.35">
      <c r="A716" s="7" t="s">
        <v>16</v>
      </c>
      <c r="B716" s="7" t="s">
        <v>19</v>
      </c>
      <c r="C716" s="6">
        <v>23</v>
      </c>
      <c r="D716" s="2">
        <v>10617.3</v>
      </c>
      <c r="E716" s="2">
        <v>9421.2750000000015</v>
      </c>
      <c r="F716" s="2">
        <v>39775</v>
      </c>
      <c r="G716" s="2">
        <v>3919.27</v>
      </c>
      <c r="H716" s="2">
        <v>5892.69</v>
      </c>
      <c r="I716" s="2">
        <v>250</v>
      </c>
      <c r="J716" s="2">
        <v>10617.3</v>
      </c>
      <c r="K716" s="2">
        <v>9421.2750000000015</v>
      </c>
      <c r="L716" s="2">
        <v>39775</v>
      </c>
      <c r="M716" s="2">
        <v>3919.27</v>
      </c>
      <c r="N716" s="2">
        <v>5892.69</v>
      </c>
      <c r="O716" s="2">
        <v>250</v>
      </c>
      <c r="P716" s="8">
        <v>1.0926699999999999E-2</v>
      </c>
      <c r="Q716" s="8">
        <v>0.99973699999999999</v>
      </c>
      <c r="R716" s="8">
        <v>4.2143600000000003E-2</v>
      </c>
      <c r="S716" s="8">
        <f>Tabelle1[[#This Row],[corr_x]]/1000</f>
        <v>10.617299999999998</v>
      </c>
      <c r="T716" s="8">
        <f>Tabelle1[[#This Row],[corr_y]]/1000</f>
        <v>9.4212750000000014</v>
      </c>
      <c r="U716" s="8">
        <f>Tabelle1[[#This Row],[corr_z]]/1000</f>
        <v>39.774999999999999</v>
      </c>
      <c r="V716" s="8">
        <f>Tabelle1[[#This Row],[corr_soma_x]]/1000</f>
        <v>3.91927</v>
      </c>
      <c r="W716" s="8">
        <f>Tabelle1[[#This Row],[corr_soma_y]]/1000</f>
        <v>5.89269</v>
      </c>
      <c r="X716" s="8">
        <f>Tabelle1[[#This Row],[corr_soma_z]]/1000</f>
        <v>0.25</v>
      </c>
    </row>
    <row r="717" spans="1:24" x14ac:dyDescent="0.35">
      <c r="A717" s="7" t="s">
        <v>16</v>
      </c>
      <c r="B717" s="7" t="s">
        <v>18</v>
      </c>
      <c r="C717" s="6">
        <v>179</v>
      </c>
      <c r="D717" s="2">
        <v>10745.85</v>
      </c>
      <c r="E717" s="2">
        <v>9740.2800000000007</v>
      </c>
      <c r="F717" s="2">
        <v>39875</v>
      </c>
      <c r="G717" s="2">
        <v>3919.27</v>
      </c>
      <c r="H717" s="2">
        <v>5892.69</v>
      </c>
      <c r="I717" s="2">
        <v>250</v>
      </c>
      <c r="J717" s="2">
        <v>10745.85</v>
      </c>
      <c r="K717" s="2">
        <v>9740.2800000000007</v>
      </c>
      <c r="L717" s="2">
        <v>39875</v>
      </c>
      <c r="M717" s="2">
        <v>3919.27</v>
      </c>
      <c r="N717" s="2">
        <v>5892.69</v>
      </c>
      <c r="O717" s="2">
        <v>250</v>
      </c>
      <c r="P717" s="8">
        <v>2.0399199999999999E-2</v>
      </c>
      <c r="Q717" s="8">
        <v>1.22271</v>
      </c>
      <c r="R717" s="8">
        <v>5.6760600000000001E-2</v>
      </c>
      <c r="S717" s="8">
        <f>Tabelle1[[#This Row],[corr_x]]/1000</f>
        <v>10.745850000000001</v>
      </c>
      <c r="T717" s="8">
        <f>Tabelle1[[#This Row],[corr_y]]/1000</f>
        <v>9.7402800000000003</v>
      </c>
      <c r="U717" s="8">
        <f>Tabelle1[[#This Row],[corr_z]]/1000</f>
        <v>39.875</v>
      </c>
      <c r="V717" s="8">
        <f>Tabelle1[[#This Row],[corr_soma_x]]/1000</f>
        <v>3.91927</v>
      </c>
      <c r="W717" s="8">
        <f>Tabelle1[[#This Row],[corr_soma_y]]/1000</f>
        <v>5.89269</v>
      </c>
      <c r="X717" s="8">
        <f>Tabelle1[[#This Row],[corr_soma_z]]/1000</f>
        <v>0.25</v>
      </c>
    </row>
    <row r="718" spans="1:24" x14ac:dyDescent="0.35">
      <c r="A718" s="7" t="s">
        <v>16</v>
      </c>
      <c r="B718" s="7" t="s">
        <v>18</v>
      </c>
      <c r="C718" s="6">
        <v>180</v>
      </c>
      <c r="D718" s="2">
        <v>10953.050000000001</v>
      </c>
      <c r="E718" s="2">
        <v>9644.375</v>
      </c>
      <c r="F718" s="2">
        <v>40125</v>
      </c>
      <c r="G718" s="2">
        <v>3919.27</v>
      </c>
      <c r="H718" s="2">
        <v>5892.69</v>
      </c>
      <c r="I718" s="2">
        <v>250</v>
      </c>
      <c r="J718" s="2">
        <v>10953.050000000001</v>
      </c>
      <c r="K718" s="2">
        <v>9644.375</v>
      </c>
      <c r="L718" s="2">
        <v>40125</v>
      </c>
      <c r="M718" s="2">
        <v>3919.27</v>
      </c>
      <c r="N718" s="2">
        <v>5892.69</v>
      </c>
      <c r="O718" s="2">
        <v>250</v>
      </c>
      <c r="P718" s="8">
        <v>8.8904399999999995E-2</v>
      </c>
      <c r="Q718" s="8">
        <v>2.25163</v>
      </c>
      <c r="R718" s="8">
        <v>0.16630700000000001</v>
      </c>
      <c r="S718" s="8">
        <f>Tabelle1[[#This Row],[corr_x]]/1000</f>
        <v>10.953050000000001</v>
      </c>
      <c r="T718" s="8">
        <f>Tabelle1[[#This Row],[corr_y]]/1000</f>
        <v>9.6443750000000001</v>
      </c>
      <c r="U718" s="8">
        <f>Tabelle1[[#This Row],[corr_z]]/1000</f>
        <v>40.125</v>
      </c>
      <c r="V718" s="8">
        <f>Tabelle1[[#This Row],[corr_soma_x]]/1000</f>
        <v>3.91927</v>
      </c>
      <c r="W718" s="8">
        <f>Tabelle1[[#This Row],[corr_soma_y]]/1000</f>
        <v>5.89269</v>
      </c>
      <c r="X718" s="8">
        <f>Tabelle1[[#This Row],[corr_soma_z]]/1000</f>
        <v>0.25</v>
      </c>
    </row>
    <row r="719" spans="1:24" x14ac:dyDescent="0.35">
      <c r="A719" s="7" t="s">
        <v>16</v>
      </c>
      <c r="B719" s="7" t="s">
        <v>18</v>
      </c>
      <c r="C719" s="6">
        <v>181</v>
      </c>
      <c r="D719" s="2">
        <v>10798.400000000001</v>
      </c>
      <c r="E719" s="2">
        <v>9843.41</v>
      </c>
      <c r="F719" s="2">
        <v>40300</v>
      </c>
      <c r="G719" s="2">
        <v>3919.27</v>
      </c>
      <c r="H719" s="2">
        <v>5892.69</v>
      </c>
      <c r="I719" s="2">
        <v>250</v>
      </c>
      <c r="J719" s="2">
        <v>10798.400000000001</v>
      </c>
      <c r="K719" s="2">
        <v>9843.41</v>
      </c>
      <c r="L719" s="2">
        <v>40300</v>
      </c>
      <c r="M719" s="2">
        <v>3919.27</v>
      </c>
      <c r="N719" s="2">
        <v>5892.69</v>
      </c>
      <c r="O719" s="2">
        <v>250</v>
      </c>
      <c r="P719" s="8">
        <v>4.3366500000000002E-2</v>
      </c>
      <c r="Q719" s="8">
        <v>0.80185200000000001</v>
      </c>
      <c r="R719" s="8">
        <v>4.61009E-2</v>
      </c>
      <c r="S719" s="8">
        <f>Tabelle1[[#This Row],[corr_x]]/1000</f>
        <v>10.798400000000001</v>
      </c>
      <c r="T719" s="8">
        <f>Tabelle1[[#This Row],[corr_y]]/1000</f>
        <v>9.8434100000000004</v>
      </c>
      <c r="U719" s="8">
        <f>Tabelle1[[#This Row],[corr_z]]/1000</f>
        <v>40.299999999999997</v>
      </c>
      <c r="V719" s="8">
        <f>Tabelle1[[#This Row],[corr_soma_x]]/1000</f>
        <v>3.91927</v>
      </c>
      <c r="W719" s="8">
        <f>Tabelle1[[#This Row],[corr_soma_y]]/1000</f>
        <v>5.89269</v>
      </c>
      <c r="X719" s="8">
        <f>Tabelle1[[#This Row],[corr_soma_z]]/1000</f>
        <v>0.25</v>
      </c>
    </row>
    <row r="720" spans="1:24" x14ac:dyDescent="0.35">
      <c r="A720" s="7" t="s">
        <v>16</v>
      </c>
      <c r="B720" s="7" t="s">
        <v>18</v>
      </c>
      <c r="C720" s="6">
        <v>182</v>
      </c>
      <c r="D720" s="2">
        <v>10556.5</v>
      </c>
      <c r="E720" s="2">
        <v>9562.1500000000015</v>
      </c>
      <c r="F720" s="2">
        <v>40150</v>
      </c>
      <c r="G720" s="2">
        <v>3919.27</v>
      </c>
      <c r="H720" s="2">
        <v>5892.69</v>
      </c>
      <c r="I720" s="2">
        <v>250</v>
      </c>
      <c r="J720" s="2">
        <v>10556.5</v>
      </c>
      <c r="K720" s="2">
        <v>9562.1500000000015</v>
      </c>
      <c r="L720" s="2">
        <v>40150</v>
      </c>
      <c r="M720" s="2">
        <v>3919.27</v>
      </c>
      <c r="N720" s="2">
        <v>5892.69</v>
      </c>
      <c r="O720" s="2">
        <v>250</v>
      </c>
      <c r="P720" s="8">
        <v>4.2119700000000003E-2</v>
      </c>
      <c r="Q720" s="8">
        <v>1.57605</v>
      </c>
      <c r="R720" s="8">
        <v>7.1247199999999997E-2</v>
      </c>
      <c r="S720" s="8">
        <f>Tabelle1[[#This Row],[corr_x]]/1000</f>
        <v>10.5565</v>
      </c>
      <c r="T720" s="8">
        <f>Tabelle1[[#This Row],[corr_y]]/1000</f>
        <v>9.5621500000000008</v>
      </c>
      <c r="U720" s="8">
        <f>Tabelle1[[#This Row],[corr_z]]/1000</f>
        <v>40.15</v>
      </c>
      <c r="V720" s="8">
        <f>Tabelle1[[#This Row],[corr_soma_x]]/1000</f>
        <v>3.91927</v>
      </c>
      <c r="W720" s="8">
        <f>Tabelle1[[#This Row],[corr_soma_y]]/1000</f>
        <v>5.89269</v>
      </c>
      <c r="X720" s="8">
        <f>Tabelle1[[#This Row],[corr_soma_z]]/1000</f>
        <v>0.25</v>
      </c>
    </row>
    <row r="721" spans="1:24" x14ac:dyDescent="0.35">
      <c r="A721" s="7" t="s">
        <v>16</v>
      </c>
      <c r="B721" s="7" t="s">
        <v>18</v>
      </c>
      <c r="C721" s="6">
        <v>183</v>
      </c>
      <c r="D721" s="2">
        <v>11343.85</v>
      </c>
      <c r="E721" s="2">
        <v>9537.5399999999991</v>
      </c>
      <c r="F721" s="2">
        <v>40725</v>
      </c>
      <c r="G721" s="2">
        <v>3919.27</v>
      </c>
      <c r="H721" s="2">
        <v>5892.69</v>
      </c>
      <c r="I721" s="2">
        <v>250</v>
      </c>
      <c r="J721" s="2">
        <v>11343.85</v>
      </c>
      <c r="K721" s="2">
        <v>9537.5399999999991</v>
      </c>
      <c r="L721" s="2">
        <v>40725</v>
      </c>
      <c r="M721" s="2">
        <v>3919.27</v>
      </c>
      <c r="N721" s="2">
        <v>5892.69</v>
      </c>
      <c r="O721" s="2">
        <v>250</v>
      </c>
      <c r="P721" s="8">
        <v>6.8491800000000005E-2</v>
      </c>
      <c r="Q721" s="8">
        <v>2.47018</v>
      </c>
      <c r="R721" s="8">
        <v>0.33856799999999998</v>
      </c>
      <c r="S721" s="8">
        <f>Tabelle1[[#This Row],[corr_x]]/1000</f>
        <v>11.34385</v>
      </c>
      <c r="T721" s="8">
        <f>Tabelle1[[#This Row],[corr_y]]/1000</f>
        <v>9.5375399999999999</v>
      </c>
      <c r="U721" s="8">
        <f>Tabelle1[[#This Row],[corr_z]]/1000</f>
        <v>40.725000000000001</v>
      </c>
      <c r="V721" s="8">
        <f>Tabelle1[[#This Row],[corr_soma_x]]/1000</f>
        <v>3.91927</v>
      </c>
      <c r="W721" s="8">
        <f>Tabelle1[[#This Row],[corr_soma_y]]/1000</f>
        <v>5.89269</v>
      </c>
      <c r="X721" s="8">
        <f>Tabelle1[[#This Row],[corr_soma_z]]/1000</f>
        <v>0.25</v>
      </c>
    </row>
    <row r="722" spans="1:24" x14ac:dyDescent="0.35">
      <c r="A722" s="7" t="s">
        <v>16</v>
      </c>
      <c r="B722" s="7" t="s">
        <v>18</v>
      </c>
      <c r="C722" s="6">
        <v>184</v>
      </c>
      <c r="D722" s="2">
        <v>10480.5</v>
      </c>
      <c r="E722" s="2">
        <v>9708.1</v>
      </c>
      <c r="F722" s="2">
        <v>40600</v>
      </c>
      <c r="G722" s="2">
        <v>3919.27</v>
      </c>
      <c r="H722" s="2">
        <v>5892.69</v>
      </c>
      <c r="I722" s="2">
        <v>250</v>
      </c>
      <c r="J722" s="2">
        <v>10480.5</v>
      </c>
      <c r="K722" s="2">
        <v>9708.1</v>
      </c>
      <c r="L722" s="2">
        <v>40600</v>
      </c>
      <c r="M722" s="2">
        <v>3919.27</v>
      </c>
      <c r="N722" s="2">
        <v>5892.69</v>
      </c>
      <c r="O722" s="2">
        <v>250</v>
      </c>
      <c r="P722" s="8">
        <v>2.3776499999999999E-2</v>
      </c>
      <c r="Q722" s="8">
        <v>0.49403799999999998</v>
      </c>
      <c r="R722" s="8">
        <v>2.3637600000000002E-2</v>
      </c>
      <c r="S722" s="8">
        <f>Tabelle1[[#This Row],[corr_x]]/1000</f>
        <v>10.480499999999999</v>
      </c>
      <c r="T722" s="8">
        <f>Tabelle1[[#This Row],[corr_y]]/1000</f>
        <v>9.7081</v>
      </c>
      <c r="U722" s="8">
        <f>Tabelle1[[#This Row],[corr_z]]/1000</f>
        <v>40.6</v>
      </c>
      <c r="V722" s="8">
        <f>Tabelle1[[#This Row],[corr_soma_x]]/1000</f>
        <v>3.91927</v>
      </c>
      <c r="W722" s="8">
        <f>Tabelle1[[#This Row],[corr_soma_y]]/1000</f>
        <v>5.89269</v>
      </c>
      <c r="X722" s="8">
        <f>Tabelle1[[#This Row],[corr_soma_z]]/1000</f>
        <v>0.25</v>
      </c>
    </row>
    <row r="723" spans="1:24" x14ac:dyDescent="0.35">
      <c r="A723" s="7" t="s">
        <v>16</v>
      </c>
      <c r="B723" s="7" t="s">
        <v>18</v>
      </c>
      <c r="C723" s="6">
        <v>185</v>
      </c>
      <c r="D723" s="2">
        <v>10959.35</v>
      </c>
      <c r="E723" s="2">
        <v>9919.6200000000008</v>
      </c>
      <c r="F723" s="2">
        <v>41075</v>
      </c>
      <c r="G723" s="2">
        <v>3919.27</v>
      </c>
      <c r="H723" s="2">
        <v>5892.69</v>
      </c>
      <c r="I723" s="2">
        <v>250</v>
      </c>
      <c r="J723" s="2">
        <v>10959.35</v>
      </c>
      <c r="K723" s="2">
        <v>9919.6200000000008</v>
      </c>
      <c r="L723" s="2">
        <v>41075</v>
      </c>
      <c r="M723" s="2">
        <v>3919.27</v>
      </c>
      <c r="N723" s="2">
        <v>5892.69</v>
      </c>
      <c r="O723" s="2">
        <v>250</v>
      </c>
      <c r="P723" s="8">
        <v>6.4865999999999993E-2</v>
      </c>
      <c r="Q723" s="8">
        <v>1.01389</v>
      </c>
      <c r="R723" s="8">
        <v>5.8845799999999997E-2</v>
      </c>
      <c r="S723" s="8">
        <f>Tabelle1[[#This Row],[corr_x]]/1000</f>
        <v>10.959350000000001</v>
      </c>
      <c r="T723" s="8">
        <f>Tabelle1[[#This Row],[corr_y]]/1000</f>
        <v>9.9196200000000001</v>
      </c>
      <c r="U723" s="8">
        <f>Tabelle1[[#This Row],[corr_z]]/1000</f>
        <v>41.075000000000003</v>
      </c>
      <c r="V723" s="8">
        <f>Tabelle1[[#This Row],[corr_soma_x]]/1000</f>
        <v>3.91927</v>
      </c>
      <c r="W723" s="8">
        <f>Tabelle1[[#This Row],[corr_soma_y]]/1000</f>
        <v>5.89269</v>
      </c>
      <c r="X723" s="8">
        <f>Tabelle1[[#This Row],[corr_soma_z]]/1000</f>
        <v>0.25</v>
      </c>
    </row>
    <row r="724" spans="1:24" x14ac:dyDescent="0.35">
      <c r="A724" s="7" t="s">
        <v>16</v>
      </c>
      <c r="B724" s="7" t="s">
        <v>18</v>
      </c>
      <c r="C724" s="6">
        <v>186</v>
      </c>
      <c r="D724" s="2">
        <v>11011.050000000001</v>
      </c>
      <c r="E724" s="2">
        <v>10042.15</v>
      </c>
      <c r="F724" s="2">
        <v>41375</v>
      </c>
      <c r="G724" s="2">
        <v>3919.27</v>
      </c>
      <c r="H724" s="2">
        <v>5892.69</v>
      </c>
      <c r="I724" s="2">
        <v>250</v>
      </c>
      <c r="J724" s="2">
        <v>11011.050000000001</v>
      </c>
      <c r="K724" s="2">
        <v>10042.15</v>
      </c>
      <c r="L724" s="2">
        <v>41375</v>
      </c>
      <c r="M724" s="2">
        <v>3919.27</v>
      </c>
      <c r="N724" s="2">
        <v>5892.69</v>
      </c>
      <c r="O724" s="2">
        <v>250</v>
      </c>
      <c r="P724" s="8">
        <v>2.09675E-2</v>
      </c>
      <c r="Q724" s="8">
        <v>0.878494</v>
      </c>
      <c r="R724" s="8">
        <v>4.8410799999999997E-2</v>
      </c>
      <c r="S724" s="8">
        <f>Tabelle1[[#This Row],[corr_x]]/1000</f>
        <v>11.011050000000001</v>
      </c>
      <c r="T724" s="8">
        <f>Tabelle1[[#This Row],[corr_y]]/1000</f>
        <v>10.042149999999999</v>
      </c>
      <c r="U724" s="8">
        <f>Tabelle1[[#This Row],[corr_z]]/1000</f>
        <v>41.375</v>
      </c>
      <c r="V724" s="8">
        <f>Tabelle1[[#This Row],[corr_soma_x]]/1000</f>
        <v>3.91927</v>
      </c>
      <c r="W724" s="8">
        <f>Tabelle1[[#This Row],[corr_soma_y]]/1000</f>
        <v>5.89269</v>
      </c>
      <c r="X724" s="8">
        <f>Tabelle1[[#This Row],[corr_soma_z]]/1000</f>
        <v>0.25</v>
      </c>
    </row>
    <row r="725" spans="1:24" x14ac:dyDescent="0.35">
      <c r="A725" s="7" t="s">
        <v>16</v>
      </c>
      <c r="B725" s="7" t="s">
        <v>18</v>
      </c>
      <c r="C725" s="6">
        <v>187</v>
      </c>
      <c r="D725" s="2">
        <v>10522.4</v>
      </c>
      <c r="E725" s="2">
        <v>9854.2400000000016</v>
      </c>
      <c r="F725" s="2">
        <v>41300</v>
      </c>
      <c r="G725" s="2">
        <v>3919.27</v>
      </c>
      <c r="H725" s="2">
        <v>5892.69</v>
      </c>
      <c r="I725" s="2">
        <v>250</v>
      </c>
      <c r="J725" s="2">
        <v>10522.4</v>
      </c>
      <c r="K725" s="2">
        <v>9854.2400000000016</v>
      </c>
      <c r="L725" s="2">
        <v>41300</v>
      </c>
      <c r="M725" s="2">
        <v>3919.27</v>
      </c>
      <c r="N725" s="2">
        <v>5892.69</v>
      </c>
      <c r="O725" s="2">
        <v>250</v>
      </c>
      <c r="P725" s="8">
        <v>4.3504800000000003E-2</v>
      </c>
      <c r="Q725" s="8">
        <v>0.51533300000000004</v>
      </c>
      <c r="R725" s="8">
        <v>2.6405600000000001E-2</v>
      </c>
      <c r="S725" s="8">
        <f>Tabelle1[[#This Row],[corr_x]]/1000</f>
        <v>10.522399999999999</v>
      </c>
      <c r="T725" s="8">
        <f>Tabelle1[[#This Row],[corr_y]]/1000</f>
        <v>9.8542400000000008</v>
      </c>
      <c r="U725" s="8">
        <f>Tabelle1[[#This Row],[corr_z]]/1000</f>
        <v>41.3</v>
      </c>
      <c r="V725" s="8">
        <f>Tabelle1[[#This Row],[corr_soma_x]]/1000</f>
        <v>3.91927</v>
      </c>
      <c r="W725" s="8">
        <f>Tabelle1[[#This Row],[corr_soma_y]]/1000</f>
        <v>5.89269</v>
      </c>
      <c r="X725" s="8">
        <f>Tabelle1[[#This Row],[corr_soma_z]]/1000</f>
        <v>0.25</v>
      </c>
    </row>
    <row r="726" spans="1:24" x14ac:dyDescent="0.35">
      <c r="A726" s="7" t="s">
        <v>16</v>
      </c>
      <c r="B726" s="7" t="s">
        <v>18</v>
      </c>
      <c r="C726" s="6">
        <v>188</v>
      </c>
      <c r="D726" s="2">
        <v>12083</v>
      </c>
      <c r="E726" s="2">
        <v>10742.34</v>
      </c>
      <c r="F726" s="2">
        <v>41525</v>
      </c>
      <c r="G726" s="2">
        <v>3919.27</v>
      </c>
      <c r="H726" s="2">
        <v>5892.69</v>
      </c>
      <c r="I726" s="2">
        <v>250</v>
      </c>
      <c r="J726" s="2">
        <v>12083</v>
      </c>
      <c r="K726" s="2">
        <v>10742.34</v>
      </c>
      <c r="L726" s="2">
        <v>41525</v>
      </c>
      <c r="M726" s="2">
        <v>3919.27</v>
      </c>
      <c r="N726" s="2">
        <v>5892.69</v>
      </c>
      <c r="O726" s="2">
        <v>250</v>
      </c>
      <c r="P726" s="8">
        <v>4.3026799999999997E-2</v>
      </c>
      <c r="Q726" s="8">
        <v>2.2649300000000001</v>
      </c>
      <c r="R726" s="8">
        <v>0.12291000000000001</v>
      </c>
      <c r="S726" s="8">
        <f>Tabelle1[[#This Row],[corr_x]]/1000</f>
        <v>12.083</v>
      </c>
      <c r="T726" s="8">
        <f>Tabelle1[[#This Row],[corr_y]]/1000</f>
        <v>10.74234</v>
      </c>
      <c r="U726" s="8">
        <f>Tabelle1[[#This Row],[corr_z]]/1000</f>
        <v>41.524999999999999</v>
      </c>
      <c r="V726" s="8">
        <f>Tabelle1[[#This Row],[corr_soma_x]]/1000</f>
        <v>3.91927</v>
      </c>
      <c r="W726" s="8">
        <f>Tabelle1[[#This Row],[corr_soma_y]]/1000</f>
        <v>5.89269</v>
      </c>
      <c r="X726" s="8">
        <f>Tabelle1[[#This Row],[corr_soma_z]]/1000</f>
        <v>0.25</v>
      </c>
    </row>
    <row r="727" spans="1:24" x14ac:dyDescent="0.35">
      <c r="A727" s="7" t="s">
        <v>16</v>
      </c>
      <c r="B727" s="7" t="s">
        <v>18</v>
      </c>
      <c r="C727" s="6">
        <v>189</v>
      </c>
      <c r="D727" s="2">
        <v>10530.35</v>
      </c>
      <c r="E727" s="2">
        <v>10024.630000000001</v>
      </c>
      <c r="F727" s="2">
        <v>41825</v>
      </c>
      <c r="G727" s="2">
        <v>3919.27</v>
      </c>
      <c r="H727" s="2">
        <v>5892.69</v>
      </c>
      <c r="I727" s="2">
        <v>250</v>
      </c>
      <c r="J727" s="2">
        <v>10530.35</v>
      </c>
      <c r="K727" s="2">
        <v>10024.630000000001</v>
      </c>
      <c r="L727" s="2">
        <v>41825</v>
      </c>
      <c r="M727" s="2">
        <v>3919.27</v>
      </c>
      <c r="N727" s="2">
        <v>5892.69</v>
      </c>
      <c r="O727" s="2">
        <v>250</v>
      </c>
      <c r="P727" s="8">
        <v>3.6186400000000001E-2</v>
      </c>
      <c r="Q727" s="8">
        <v>1.50657</v>
      </c>
      <c r="R727" s="8">
        <v>0.111207</v>
      </c>
      <c r="S727" s="8">
        <f>Tabelle1[[#This Row],[corr_x]]/1000</f>
        <v>10.53035</v>
      </c>
      <c r="T727" s="8">
        <f>Tabelle1[[#This Row],[corr_y]]/1000</f>
        <v>10.02463</v>
      </c>
      <c r="U727" s="8">
        <f>Tabelle1[[#This Row],[corr_z]]/1000</f>
        <v>41.825000000000003</v>
      </c>
      <c r="V727" s="8">
        <f>Tabelle1[[#This Row],[corr_soma_x]]/1000</f>
        <v>3.91927</v>
      </c>
      <c r="W727" s="8">
        <f>Tabelle1[[#This Row],[corr_soma_y]]/1000</f>
        <v>5.89269</v>
      </c>
      <c r="X727" s="8">
        <f>Tabelle1[[#This Row],[corr_soma_z]]/1000</f>
        <v>0.25</v>
      </c>
    </row>
    <row r="728" spans="1:24" x14ac:dyDescent="0.35">
      <c r="A728" s="7" t="s">
        <v>16</v>
      </c>
      <c r="B728" s="7" t="s">
        <v>18</v>
      </c>
      <c r="C728" s="6">
        <v>190</v>
      </c>
      <c r="D728" s="2">
        <v>10552.699999999999</v>
      </c>
      <c r="E728" s="2">
        <v>10234.949999999999</v>
      </c>
      <c r="F728" s="2">
        <v>41925</v>
      </c>
      <c r="G728" s="2">
        <v>3919.27</v>
      </c>
      <c r="H728" s="2">
        <v>5892.69</v>
      </c>
      <c r="I728" s="2">
        <v>250</v>
      </c>
      <c r="J728" s="2">
        <v>10552.699999999999</v>
      </c>
      <c r="K728" s="2">
        <v>10234.949999999999</v>
      </c>
      <c r="L728" s="2">
        <v>41925</v>
      </c>
      <c r="M728" s="2">
        <v>3919.27</v>
      </c>
      <c r="N728" s="2">
        <v>5892.69</v>
      </c>
      <c r="O728" s="2">
        <v>250</v>
      </c>
      <c r="P728" s="8">
        <v>5.6495499999999997E-2</v>
      </c>
      <c r="Q728" s="8">
        <v>1.1130599999999999</v>
      </c>
      <c r="R728" s="8">
        <v>4.80902E-2</v>
      </c>
      <c r="S728" s="8">
        <f>Tabelle1[[#This Row],[corr_x]]/1000</f>
        <v>10.5527</v>
      </c>
      <c r="T728" s="8">
        <f>Tabelle1[[#This Row],[corr_y]]/1000</f>
        <v>10.23495</v>
      </c>
      <c r="U728" s="8">
        <f>Tabelle1[[#This Row],[corr_z]]/1000</f>
        <v>41.924999999999997</v>
      </c>
      <c r="V728" s="8">
        <f>Tabelle1[[#This Row],[corr_soma_x]]/1000</f>
        <v>3.91927</v>
      </c>
      <c r="W728" s="8">
        <f>Tabelle1[[#This Row],[corr_soma_y]]/1000</f>
        <v>5.89269</v>
      </c>
      <c r="X728" s="8">
        <f>Tabelle1[[#This Row],[corr_soma_z]]/1000</f>
        <v>0.25</v>
      </c>
    </row>
    <row r="729" spans="1:24" x14ac:dyDescent="0.35">
      <c r="A729" s="7" t="s">
        <v>16</v>
      </c>
      <c r="B729" s="7" t="s">
        <v>18</v>
      </c>
      <c r="C729" s="6">
        <v>191</v>
      </c>
      <c r="D729" s="2">
        <v>10815.099999999999</v>
      </c>
      <c r="E729" s="2">
        <v>10772.3</v>
      </c>
      <c r="F729" s="2">
        <v>42600</v>
      </c>
      <c r="G729" s="2">
        <v>3919.27</v>
      </c>
      <c r="H729" s="2">
        <v>5892.69</v>
      </c>
      <c r="I729" s="2">
        <v>250</v>
      </c>
      <c r="J729" s="2">
        <v>10815.099999999999</v>
      </c>
      <c r="K729" s="2">
        <v>10772.3</v>
      </c>
      <c r="L729" s="2">
        <v>42600</v>
      </c>
      <c r="M729" s="2">
        <v>3919.27</v>
      </c>
      <c r="N729" s="2">
        <v>5892.69</v>
      </c>
      <c r="O729" s="2">
        <v>250</v>
      </c>
      <c r="P729" s="8">
        <v>6.3352800000000001E-2</v>
      </c>
      <c r="Q729" s="8">
        <v>2.0357500000000002</v>
      </c>
      <c r="R729" s="8">
        <v>0.17208999999999999</v>
      </c>
      <c r="S729" s="8">
        <f>Tabelle1[[#This Row],[corr_x]]/1000</f>
        <v>10.815099999999999</v>
      </c>
      <c r="T729" s="8">
        <f>Tabelle1[[#This Row],[corr_y]]/1000</f>
        <v>10.7723</v>
      </c>
      <c r="U729" s="8">
        <f>Tabelle1[[#This Row],[corr_z]]/1000</f>
        <v>42.6</v>
      </c>
      <c r="V729" s="8">
        <f>Tabelle1[[#This Row],[corr_soma_x]]/1000</f>
        <v>3.91927</v>
      </c>
      <c r="W729" s="8">
        <f>Tabelle1[[#This Row],[corr_soma_y]]/1000</f>
        <v>5.89269</v>
      </c>
      <c r="X729" s="8">
        <f>Tabelle1[[#This Row],[corr_soma_z]]/1000</f>
        <v>0.25</v>
      </c>
    </row>
    <row r="730" spans="1:24" x14ac:dyDescent="0.35">
      <c r="A730" s="7" t="s">
        <v>16</v>
      </c>
      <c r="B730" s="7" t="s">
        <v>18</v>
      </c>
      <c r="C730" s="6">
        <v>192</v>
      </c>
      <c r="D730" s="2">
        <v>11075.4</v>
      </c>
      <c r="E730" s="2">
        <v>10429.1</v>
      </c>
      <c r="F730" s="2">
        <v>42150</v>
      </c>
      <c r="G730" s="2">
        <v>3919.27</v>
      </c>
      <c r="H730" s="2">
        <v>5892.69</v>
      </c>
      <c r="I730" s="2">
        <v>250</v>
      </c>
      <c r="J730" s="2">
        <v>11075.4</v>
      </c>
      <c r="K730" s="2">
        <v>10429.1</v>
      </c>
      <c r="L730" s="2">
        <v>42150</v>
      </c>
      <c r="M730" s="2">
        <v>3919.27</v>
      </c>
      <c r="N730" s="2">
        <v>5892.69</v>
      </c>
      <c r="O730" s="2">
        <v>250</v>
      </c>
      <c r="P730" s="8">
        <v>6.3516500000000004E-2</v>
      </c>
      <c r="Q730" s="8">
        <v>1.54573</v>
      </c>
      <c r="R730" s="8">
        <v>9.4203899999999993E-2</v>
      </c>
      <c r="S730" s="8">
        <f>Tabelle1[[#This Row],[corr_x]]/1000</f>
        <v>11.0754</v>
      </c>
      <c r="T730" s="8">
        <f>Tabelle1[[#This Row],[corr_y]]/1000</f>
        <v>10.4291</v>
      </c>
      <c r="U730" s="8">
        <f>Tabelle1[[#This Row],[corr_z]]/1000</f>
        <v>42.15</v>
      </c>
      <c r="V730" s="8">
        <f>Tabelle1[[#This Row],[corr_soma_x]]/1000</f>
        <v>3.91927</v>
      </c>
      <c r="W730" s="8">
        <f>Tabelle1[[#This Row],[corr_soma_y]]/1000</f>
        <v>5.89269</v>
      </c>
      <c r="X730" s="8">
        <f>Tabelle1[[#This Row],[corr_soma_z]]/1000</f>
        <v>0.25</v>
      </c>
    </row>
    <row r="731" spans="1:24" x14ac:dyDescent="0.35">
      <c r="A731" s="7" t="s">
        <v>16</v>
      </c>
      <c r="B731" s="7" t="s">
        <v>18</v>
      </c>
      <c r="C731" s="6">
        <v>193</v>
      </c>
      <c r="D731" s="2">
        <v>11018.050000000001</v>
      </c>
      <c r="E731" s="2">
        <v>10439.35</v>
      </c>
      <c r="F731" s="2">
        <v>42075</v>
      </c>
      <c r="G731" s="2">
        <v>3919.27</v>
      </c>
      <c r="H731" s="2">
        <v>5892.69</v>
      </c>
      <c r="I731" s="2">
        <v>250</v>
      </c>
      <c r="J731" s="2">
        <v>11018.050000000001</v>
      </c>
      <c r="K731" s="2">
        <v>10439.35</v>
      </c>
      <c r="L731" s="2">
        <v>42075</v>
      </c>
      <c r="M731" s="2">
        <v>3919.27</v>
      </c>
      <c r="N731" s="2">
        <v>5892.69</v>
      </c>
      <c r="O731" s="2">
        <v>250</v>
      </c>
      <c r="P731" s="8">
        <v>2.9866400000000001E-2</v>
      </c>
      <c r="Q731" s="8">
        <v>1.8881399999999999</v>
      </c>
      <c r="R731" s="8">
        <v>0.13502700000000001</v>
      </c>
      <c r="S731" s="8">
        <f>Tabelle1[[#This Row],[corr_x]]/1000</f>
        <v>11.018050000000001</v>
      </c>
      <c r="T731" s="8">
        <f>Tabelle1[[#This Row],[corr_y]]/1000</f>
        <v>10.439350000000001</v>
      </c>
      <c r="U731" s="8">
        <f>Tabelle1[[#This Row],[corr_z]]/1000</f>
        <v>42.075000000000003</v>
      </c>
      <c r="V731" s="8">
        <f>Tabelle1[[#This Row],[corr_soma_x]]/1000</f>
        <v>3.91927</v>
      </c>
      <c r="W731" s="8">
        <f>Tabelle1[[#This Row],[corr_soma_y]]/1000</f>
        <v>5.89269</v>
      </c>
      <c r="X731" s="8">
        <f>Tabelle1[[#This Row],[corr_soma_z]]/1000</f>
        <v>0.25</v>
      </c>
    </row>
    <row r="732" spans="1:24" x14ac:dyDescent="0.35">
      <c r="A732" s="7" t="s">
        <v>16</v>
      </c>
      <c r="B732" s="7" t="s">
        <v>18</v>
      </c>
      <c r="C732" s="6">
        <v>194</v>
      </c>
      <c r="D732" s="2">
        <v>11073.800000000001</v>
      </c>
      <c r="E732" s="2">
        <v>10447.800000000001</v>
      </c>
      <c r="F732" s="2">
        <v>42525</v>
      </c>
      <c r="G732" s="2">
        <v>3919.27</v>
      </c>
      <c r="H732" s="2">
        <v>5892.69</v>
      </c>
      <c r="I732" s="2">
        <v>250</v>
      </c>
      <c r="J732" s="2">
        <v>11073.800000000001</v>
      </c>
      <c r="K732" s="2">
        <v>10447.800000000001</v>
      </c>
      <c r="L732" s="2">
        <v>42525</v>
      </c>
      <c r="M732" s="2">
        <v>3919.27</v>
      </c>
      <c r="N732" s="2">
        <v>5892.69</v>
      </c>
      <c r="O732" s="2">
        <v>250</v>
      </c>
      <c r="P732" s="8">
        <v>3.9249600000000003E-2</v>
      </c>
      <c r="Q732" s="8">
        <v>1.5765800000000001</v>
      </c>
      <c r="R732" s="8">
        <v>0.13778499999999999</v>
      </c>
      <c r="S732" s="8">
        <f>Tabelle1[[#This Row],[corr_x]]/1000</f>
        <v>11.0738</v>
      </c>
      <c r="T732" s="8">
        <f>Tabelle1[[#This Row],[corr_y]]/1000</f>
        <v>10.447800000000001</v>
      </c>
      <c r="U732" s="8">
        <f>Tabelle1[[#This Row],[corr_z]]/1000</f>
        <v>42.524999999999999</v>
      </c>
      <c r="V732" s="8">
        <f>Tabelle1[[#This Row],[corr_soma_x]]/1000</f>
        <v>3.91927</v>
      </c>
      <c r="W732" s="8">
        <f>Tabelle1[[#This Row],[corr_soma_y]]/1000</f>
        <v>5.89269</v>
      </c>
      <c r="X732" s="8">
        <f>Tabelle1[[#This Row],[corr_soma_z]]/1000</f>
        <v>0.25</v>
      </c>
    </row>
    <row r="733" spans="1:24" x14ac:dyDescent="0.35">
      <c r="A733" s="7" t="s">
        <v>16</v>
      </c>
      <c r="B733" s="7" t="s">
        <v>19</v>
      </c>
      <c r="C733" s="6">
        <v>24</v>
      </c>
      <c r="D733" s="2">
        <v>10963.800000000001</v>
      </c>
      <c r="E733" s="2">
        <v>10538.3</v>
      </c>
      <c r="F733" s="2">
        <v>42100</v>
      </c>
      <c r="G733" s="2">
        <v>3919.27</v>
      </c>
      <c r="H733" s="2">
        <v>5892.69</v>
      </c>
      <c r="I733" s="2">
        <v>250</v>
      </c>
      <c r="J733" s="2">
        <v>10963.800000000001</v>
      </c>
      <c r="K733" s="2">
        <v>10538.3</v>
      </c>
      <c r="L733" s="2">
        <v>42100</v>
      </c>
      <c r="M733" s="2">
        <v>3919.27</v>
      </c>
      <c r="N733" s="2">
        <v>5892.69</v>
      </c>
      <c r="O733" s="2">
        <v>250</v>
      </c>
      <c r="P733" s="8">
        <v>1.44198E-2</v>
      </c>
      <c r="Q733" s="8">
        <v>1.15103</v>
      </c>
      <c r="R733" s="8">
        <v>0.118865</v>
      </c>
      <c r="S733" s="8">
        <f>Tabelle1[[#This Row],[corr_x]]/1000</f>
        <v>10.963800000000001</v>
      </c>
      <c r="T733" s="8">
        <f>Tabelle1[[#This Row],[corr_y]]/1000</f>
        <v>10.5383</v>
      </c>
      <c r="U733" s="8">
        <f>Tabelle1[[#This Row],[corr_z]]/1000</f>
        <v>42.1</v>
      </c>
      <c r="V733" s="8">
        <f>Tabelle1[[#This Row],[corr_soma_x]]/1000</f>
        <v>3.91927</v>
      </c>
      <c r="W733" s="8">
        <f>Tabelle1[[#This Row],[corr_soma_y]]/1000</f>
        <v>5.89269</v>
      </c>
      <c r="X733" s="8">
        <f>Tabelle1[[#This Row],[corr_soma_z]]/1000</f>
        <v>0.25</v>
      </c>
    </row>
    <row r="734" spans="1:24" x14ac:dyDescent="0.35">
      <c r="A734" s="7" t="s">
        <v>16</v>
      </c>
      <c r="B734" s="7" t="s">
        <v>18</v>
      </c>
      <c r="C734" s="6">
        <v>195</v>
      </c>
      <c r="D734" s="2">
        <v>10828.5</v>
      </c>
      <c r="E734" s="2">
        <v>10731.199999999999</v>
      </c>
      <c r="F734" s="2">
        <v>43050</v>
      </c>
      <c r="G734" s="2">
        <v>3919.27</v>
      </c>
      <c r="H734" s="2">
        <v>5892.69</v>
      </c>
      <c r="I734" s="2">
        <v>250</v>
      </c>
      <c r="J734" s="2">
        <v>10828.5</v>
      </c>
      <c r="K734" s="2">
        <v>10731.199999999999</v>
      </c>
      <c r="L734" s="2">
        <v>43050</v>
      </c>
      <c r="M734" s="2">
        <v>3919.27</v>
      </c>
      <c r="N734" s="2">
        <v>5892.69</v>
      </c>
      <c r="O734" s="2">
        <v>250</v>
      </c>
      <c r="P734" s="8">
        <v>2.89296E-2</v>
      </c>
      <c r="Q734" s="8">
        <v>0.60673500000000002</v>
      </c>
      <c r="R734" s="8">
        <v>4.8341700000000001E-2</v>
      </c>
      <c r="S734" s="8">
        <f>Tabelle1[[#This Row],[corr_x]]/1000</f>
        <v>10.8285</v>
      </c>
      <c r="T734" s="8">
        <f>Tabelle1[[#This Row],[corr_y]]/1000</f>
        <v>10.731199999999999</v>
      </c>
      <c r="U734" s="8">
        <f>Tabelle1[[#This Row],[corr_z]]/1000</f>
        <v>43.05</v>
      </c>
      <c r="V734" s="8">
        <f>Tabelle1[[#This Row],[corr_soma_x]]/1000</f>
        <v>3.91927</v>
      </c>
      <c r="W734" s="8">
        <f>Tabelle1[[#This Row],[corr_soma_y]]/1000</f>
        <v>5.89269</v>
      </c>
      <c r="X734" s="8">
        <f>Tabelle1[[#This Row],[corr_soma_z]]/1000</f>
        <v>0.25</v>
      </c>
    </row>
    <row r="735" spans="1:24" x14ac:dyDescent="0.35">
      <c r="A735" s="7" t="s">
        <v>16</v>
      </c>
      <c r="B735" s="7" t="s">
        <v>18</v>
      </c>
      <c r="C735" s="6">
        <v>196</v>
      </c>
      <c r="D735" s="2">
        <v>10835.599999999999</v>
      </c>
      <c r="E735" s="2">
        <v>10771.149999999998</v>
      </c>
      <c r="F735" s="2">
        <v>43925</v>
      </c>
      <c r="G735" s="2">
        <v>3919.27</v>
      </c>
      <c r="H735" s="2">
        <v>5892.69</v>
      </c>
      <c r="I735" s="2">
        <v>250</v>
      </c>
      <c r="J735" s="2">
        <v>10835.599999999999</v>
      </c>
      <c r="K735" s="2">
        <v>10771.149999999998</v>
      </c>
      <c r="L735" s="2">
        <v>43925</v>
      </c>
      <c r="M735" s="2">
        <v>3919.27</v>
      </c>
      <c r="N735" s="2">
        <v>5892.69</v>
      </c>
      <c r="O735" s="2">
        <v>250</v>
      </c>
      <c r="P735" s="8">
        <v>3.9861800000000003E-2</v>
      </c>
      <c r="Q735" s="8">
        <v>0.809307</v>
      </c>
      <c r="R735" s="8">
        <v>5.6198400000000003E-2</v>
      </c>
      <c r="S735" s="8">
        <f>Tabelle1[[#This Row],[corr_x]]/1000</f>
        <v>10.835599999999998</v>
      </c>
      <c r="T735" s="8">
        <f>Tabelle1[[#This Row],[corr_y]]/1000</f>
        <v>10.771149999999999</v>
      </c>
      <c r="U735" s="8">
        <f>Tabelle1[[#This Row],[corr_z]]/1000</f>
        <v>43.924999999999997</v>
      </c>
      <c r="V735" s="8">
        <f>Tabelle1[[#This Row],[corr_soma_x]]/1000</f>
        <v>3.91927</v>
      </c>
      <c r="W735" s="8">
        <f>Tabelle1[[#This Row],[corr_soma_y]]/1000</f>
        <v>5.89269</v>
      </c>
      <c r="X735" s="8">
        <f>Tabelle1[[#This Row],[corr_soma_z]]/1000</f>
        <v>0.25</v>
      </c>
    </row>
    <row r="736" spans="1:24" x14ac:dyDescent="0.35">
      <c r="A736" s="7" t="s">
        <v>16</v>
      </c>
      <c r="B736" s="7" t="s">
        <v>18</v>
      </c>
      <c r="C736" s="6">
        <v>197</v>
      </c>
      <c r="D736" s="2">
        <v>11187.750000000002</v>
      </c>
      <c r="E736" s="2">
        <v>11001.45</v>
      </c>
      <c r="F736" s="2">
        <v>43925</v>
      </c>
      <c r="G736" s="2">
        <v>3919.27</v>
      </c>
      <c r="H736" s="2">
        <v>5892.69</v>
      </c>
      <c r="I736" s="2">
        <v>250</v>
      </c>
      <c r="J736" s="2">
        <v>11187.750000000002</v>
      </c>
      <c r="K736" s="2">
        <v>11001.45</v>
      </c>
      <c r="L736" s="2">
        <v>43925</v>
      </c>
      <c r="M736" s="2">
        <v>3919.27</v>
      </c>
      <c r="N736" s="2">
        <v>5892.69</v>
      </c>
      <c r="O736" s="2">
        <v>250</v>
      </c>
      <c r="P736" s="8">
        <v>3.4269899999999999E-2</v>
      </c>
      <c r="Q736" s="8">
        <v>0.59868399999999999</v>
      </c>
      <c r="R736" s="8">
        <v>4.0570000000000002E-2</v>
      </c>
      <c r="S736" s="8">
        <f>Tabelle1[[#This Row],[corr_x]]/1000</f>
        <v>11.187750000000001</v>
      </c>
      <c r="T736" s="8">
        <f>Tabelle1[[#This Row],[corr_y]]/1000</f>
        <v>11.00145</v>
      </c>
      <c r="U736" s="8">
        <f>Tabelle1[[#This Row],[corr_z]]/1000</f>
        <v>43.924999999999997</v>
      </c>
      <c r="V736" s="8">
        <f>Tabelle1[[#This Row],[corr_soma_x]]/1000</f>
        <v>3.91927</v>
      </c>
      <c r="W736" s="8">
        <f>Tabelle1[[#This Row],[corr_soma_y]]/1000</f>
        <v>5.89269</v>
      </c>
      <c r="X736" s="8">
        <f>Tabelle1[[#This Row],[corr_soma_z]]/1000</f>
        <v>0.25</v>
      </c>
    </row>
    <row r="737" spans="1:24" x14ac:dyDescent="0.35">
      <c r="A737" s="7" t="s">
        <v>16</v>
      </c>
      <c r="B737" s="7" t="s">
        <v>18</v>
      </c>
      <c r="C737" s="6">
        <v>198</v>
      </c>
      <c r="D737" s="2">
        <v>10941.3</v>
      </c>
      <c r="E737" s="2">
        <v>10951.599999999999</v>
      </c>
      <c r="F737" s="2">
        <v>44200</v>
      </c>
      <c r="G737" s="2">
        <v>3919.27</v>
      </c>
      <c r="H737" s="2">
        <v>5892.69</v>
      </c>
      <c r="I737" s="2">
        <v>250</v>
      </c>
      <c r="J737" s="2">
        <v>10941.3</v>
      </c>
      <c r="K737" s="2">
        <v>10951.599999999999</v>
      </c>
      <c r="L737" s="2">
        <v>44200</v>
      </c>
      <c r="M737" s="2">
        <v>3919.27</v>
      </c>
      <c r="N737" s="2">
        <v>5892.69</v>
      </c>
      <c r="O737" s="2">
        <v>250</v>
      </c>
      <c r="P737" s="8">
        <v>4.0342099999999999E-2</v>
      </c>
      <c r="Q737" s="8">
        <v>1.1035900000000001</v>
      </c>
      <c r="R737" s="8">
        <v>8.9154499999999998E-2</v>
      </c>
      <c r="S737" s="8">
        <f>Tabelle1[[#This Row],[corr_x]]/1000</f>
        <v>10.9413</v>
      </c>
      <c r="T737" s="8">
        <f>Tabelle1[[#This Row],[corr_y]]/1000</f>
        <v>10.951599999999999</v>
      </c>
      <c r="U737" s="8">
        <f>Tabelle1[[#This Row],[corr_z]]/1000</f>
        <v>44.2</v>
      </c>
      <c r="V737" s="8">
        <f>Tabelle1[[#This Row],[corr_soma_x]]/1000</f>
        <v>3.91927</v>
      </c>
      <c r="W737" s="8">
        <f>Tabelle1[[#This Row],[corr_soma_y]]/1000</f>
        <v>5.89269</v>
      </c>
      <c r="X737" s="8">
        <f>Tabelle1[[#This Row],[corr_soma_z]]/1000</f>
        <v>0.25</v>
      </c>
    </row>
    <row r="738" spans="1:24" x14ac:dyDescent="0.35">
      <c r="A738" s="7" t="s">
        <v>16</v>
      </c>
      <c r="B738" s="7" t="s">
        <v>18</v>
      </c>
      <c r="C738" s="6">
        <v>199</v>
      </c>
      <c r="D738" s="2">
        <v>11094.4</v>
      </c>
      <c r="E738" s="2">
        <v>11105.7</v>
      </c>
      <c r="F738" s="2">
        <v>44550</v>
      </c>
      <c r="G738" s="2">
        <v>3919.27</v>
      </c>
      <c r="H738" s="2">
        <v>5892.69</v>
      </c>
      <c r="I738" s="2">
        <v>250</v>
      </c>
      <c r="J738" s="2">
        <v>11094.4</v>
      </c>
      <c r="K738" s="2">
        <v>11105.7</v>
      </c>
      <c r="L738" s="2">
        <v>44550</v>
      </c>
      <c r="M738" s="2">
        <v>3919.27</v>
      </c>
      <c r="N738" s="2">
        <v>5892.69</v>
      </c>
      <c r="O738" s="2">
        <v>250</v>
      </c>
      <c r="P738" s="8">
        <v>1.7683999999999998E-2</v>
      </c>
      <c r="Q738" s="8">
        <v>1.5969500000000001</v>
      </c>
      <c r="R738" s="8">
        <v>0.13966100000000001</v>
      </c>
      <c r="S738" s="8">
        <f>Tabelle1[[#This Row],[corr_x]]/1000</f>
        <v>11.0944</v>
      </c>
      <c r="T738" s="8">
        <f>Tabelle1[[#This Row],[corr_y]]/1000</f>
        <v>11.105700000000001</v>
      </c>
      <c r="U738" s="8">
        <f>Tabelle1[[#This Row],[corr_z]]/1000</f>
        <v>44.55</v>
      </c>
      <c r="V738" s="8">
        <f>Tabelle1[[#This Row],[corr_soma_x]]/1000</f>
        <v>3.91927</v>
      </c>
      <c r="W738" s="8">
        <f>Tabelle1[[#This Row],[corr_soma_y]]/1000</f>
        <v>5.89269</v>
      </c>
      <c r="X738" s="8">
        <f>Tabelle1[[#This Row],[corr_soma_z]]/1000</f>
        <v>0.25</v>
      </c>
    </row>
    <row r="739" spans="1:24" x14ac:dyDescent="0.35">
      <c r="A739" s="7" t="s">
        <v>16</v>
      </c>
      <c r="B739" s="7" t="s">
        <v>18</v>
      </c>
      <c r="C739" s="6">
        <v>200</v>
      </c>
      <c r="D739" s="2">
        <v>11215.4</v>
      </c>
      <c r="E739" s="2">
        <v>10922.85</v>
      </c>
      <c r="F739" s="2">
        <v>44725</v>
      </c>
      <c r="G739" s="2">
        <v>3919.27</v>
      </c>
      <c r="H739" s="2">
        <v>5892.69</v>
      </c>
      <c r="I739" s="2">
        <v>250</v>
      </c>
      <c r="J739" s="2">
        <v>11215.4</v>
      </c>
      <c r="K739" s="2">
        <v>10922.85</v>
      </c>
      <c r="L739" s="2">
        <v>44725</v>
      </c>
      <c r="M739" s="2">
        <v>3919.27</v>
      </c>
      <c r="N739" s="2">
        <v>5892.69</v>
      </c>
      <c r="O739" s="2">
        <v>250</v>
      </c>
      <c r="P739" s="8">
        <v>3.7719999999999997E-2</v>
      </c>
      <c r="Q739" s="8">
        <v>1.27223</v>
      </c>
      <c r="R739" s="8">
        <v>6.8252099999999996E-2</v>
      </c>
      <c r="S739" s="8">
        <f>Tabelle1[[#This Row],[corr_x]]/1000</f>
        <v>11.215399999999999</v>
      </c>
      <c r="T739" s="8">
        <f>Tabelle1[[#This Row],[corr_y]]/1000</f>
        <v>10.92285</v>
      </c>
      <c r="U739" s="8">
        <f>Tabelle1[[#This Row],[corr_z]]/1000</f>
        <v>44.725000000000001</v>
      </c>
      <c r="V739" s="8">
        <f>Tabelle1[[#This Row],[corr_soma_x]]/1000</f>
        <v>3.91927</v>
      </c>
      <c r="W739" s="8">
        <f>Tabelle1[[#This Row],[corr_soma_y]]/1000</f>
        <v>5.89269</v>
      </c>
      <c r="X739" s="8">
        <f>Tabelle1[[#This Row],[corr_soma_z]]/1000</f>
        <v>0.25</v>
      </c>
    </row>
    <row r="740" spans="1:24" x14ac:dyDescent="0.35">
      <c r="A740" s="7" t="s">
        <v>16</v>
      </c>
      <c r="B740" s="7" t="s">
        <v>18</v>
      </c>
      <c r="C740" s="6">
        <v>201</v>
      </c>
      <c r="D740" s="2">
        <v>11309.000000000002</v>
      </c>
      <c r="E740" s="2">
        <v>11192.45</v>
      </c>
      <c r="F740" s="2">
        <v>45375</v>
      </c>
      <c r="G740" s="2">
        <v>3919.27</v>
      </c>
      <c r="H740" s="2">
        <v>5892.69</v>
      </c>
      <c r="I740" s="2">
        <v>250</v>
      </c>
      <c r="J740" s="2">
        <v>11309.000000000002</v>
      </c>
      <c r="K740" s="2">
        <v>11192.45</v>
      </c>
      <c r="L740" s="2">
        <v>45375</v>
      </c>
      <c r="M740" s="2">
        <v>3919.27</v>
      </c>
      <c r="N740" s="2">
        <v>5892.69</v>
      </c>
      <c r="O740" s="2">
        <v>250</v>
      </c>
      <c r="P740" s="8">
        <v>6.1539999999999997E-2</v>
      </c>
      <c r="Q740" s="8">
        <v>1.0270999999999999</v>
      </c>
      <c r="R740" s="8">
        <v>9.4586799999999999E-2</v>
      </c>
      <c r="S740" s="8">
        <f>Tabelle1[[#This Row],[corr_x]]/1000</f>
        <v>11.309000000000001</v>
      </c>
      <c r="T740" s="8">
        <f>Tabelle1[[#This Row],[corr_y]]/1000</f>
        <v>11.192450000000001</v>
      </c>
      <c r="U740" s="8">
        <f>Tabelle1[[#This Row],[corr_z]]/1000</f>
        <v>45.375</v>
      </c>
      <c r="V740" s="8">
        <f>Tabelle1[[#This Row],[corr_soma_x]]/1000</f>
        <v>3.91927</v>
      </c>
      <c r="W740" s="8">
        <f>Tabelle1[[#This Row],[corr_soma_y]]/1000</f>
        <v>5.89269</v>
      </c>
      <c r="X740" s="8">
        <f>Tabelle1[[#This Row],[corr_soma_z]]/1000</f>
        <v>0.25</v>
      </c>
    </row>
    <row r="741" spans="1:24" x14ac:dyDescent="0.35">
      <c r="A741" s="7" t="s">
        <v>16</v>
      </c>
      <c r="B741" s="7" t="s">
        <v>18</v>
      </c>
      <c r="C741" s="6">
        <v>202</v>
      </c>
      <c r="D741" s="2">
        <v>10909.2</v>
      </c>
      <c r="E741" s="2">
        <v>11239</v>
      </c>
      <c r="F741" s="2">
        <v>45750</v>
      </c>
      <c r="G741" s="2">
        <v>3919.27</v>
      </c>
      <c r="H741" s="2">
        <v>5892.69</v>
      </c>
      <c r="I741" s="2">
        <v>250</v>
      </c>
      <c r="J741" s="2">
        <v>10909.2</v>
      </c>
      <c r="K741" s="2">
        <v>11239</v>
      </c>
      <c r="L741" s="2">
        <v>45750</v>
      </c>
      <c r="M741" s="2">
        <v>3919.27</v>
      </c>
      <c r="N741" s="2">
        <v>5892.69</v>
      </c>
      <c r="O741" s="2">
        <v>250</v>
      </c>
      <c r="P741" s="8">
        <v>4.0202300000000003E-2</v>
      </c>
      <c r="Q741" s="8">
        <v>1.01824</v>
      </c>
      <c r="R741" s="8">
        <v>5.3479100000000002E-2</v>
      </c>
      <c r="S741" s="8">
        <f>Tabelle1[[#This Row],[corr_x]]/1000</f>
        <v>10.9092</v>
      </c>
      <c r="T741" s="8">
        <f>Tabelle1[[#This Row],[corr_y]]/1000</f>
        <v>11.239000000000001</v>
      </c>
      <c r="U741" s="8">
        <f>Tabelle1[[#This Row],[corr_z]]/1000</f>
        <v>45.75</v>
      </c>
      <c r="V741" s="8">
        <f>Tabelle1[[#This Row],[corr_soma_x]]/1000</f>
        <v>3.91927</v>
      </c>
      <c r="W741" s="8">
        <f>Tabelle1[[#This Row],[corr_soma_y]]/1000</f>
        <v>5.89269</v>
      </c>
      <c r="X741" s="8">
        <f>Tabelle1[[#This Row],[corr_soma_z]]/1000</f>
        <v>0.25</v>
      </c>
    </row>
    <row r="742" spans="1:24" x14ac:dyDescent="0.35">
      <c r="A742" s="7" t="s">
        <v>16</v>
      </c>
      <c r="B742" s="7" t="s">
        <v>19</v>
      </c>
      <c r="C742" s="6">
        <v>25</v>
      </c>
      <c r="D742" s="2">
        <v>11263.1</v>
      </c>
      <c r="E742" s="2">
        <v>11357.6</v>
      </c>
      <c r="F742" s="2">
        <v>47050</v>
      </c>
      <c r="G742" s="2">
        <v>3919.27</v>
      </c>
      <c r="H742" s="2">
        <v>5892.69</v>
      </c>
      <c r="I742" s="2">
        <v>250</v>
      </c>
      <c r="J742" s="2">
        <v>11263.1</v>
      </c>
      <c r="K742" s="2">
        <v>11357.6</v>
      </c>
      <c r="L742" s="2">
        <v>47050</v>
      </c>
      <c r="M742" s="2">
        <v>3919.27</v>
      </c>
      <c r="N742" s="2">
        <v>5892.69</v>
      </c>
      <c r="O742" s="2">
        <v>250</v>
      </c>
      <c r="P742" s="8">
        <v>7.5593199999999999E-2</v>
      </c>
      <c r="Q742" s="8">
        <v>2.3069299999999999</v>
      </c>
      <c r="R742" s="8">
        <v>0.105267</v>
      </c>
      <c r="S742" s="8">
        <f>Tabelle1[[#This Row],[corr_x]]/1000</f>
        <v>11.2631</v>
      </c>
      <c r="T742" s="8">
        <f>Tabelle1[[#This Row],[corr_y]]/1000</f>
        <v>11.3576</v>
      </c>
      <c r="U742" s="8">
        <f>Tabelle1[[#This Row],[corr_z]]/1000</f>
        <v>47.05</v>
      </c>
      <c r="V742" s="8">
        <f>Tabelle1[[#This Row],[corr_soma_x]]/1000</f>
        <v>3.91927</v>
      </c>
      <c r="W742" s="8">
        <f>Tabelle1[[#This Row],[corr_soma_y]]/1000</f>
        <v>5.89269</v>
      </c>
      <c r="X742" s="8">
        <f>Tabelle1[[#This Row],[corr_soma_z]]/1000</f>
        <v>0.25</v>
      </c>
    </row>
    <row r="743" spans="1:24" x14ac:dyDescent="0.35">
      <c r="A743" s="7" t="s">
        <v>16</v>
      </c>
      <c r="B743" s="7" t="s">
        <v>18</v>
      </c>
      <c r="C743" s="6">
        <v>203</v>
      </c>
      <c r="D743" s="2">
        <v>11683.75</v>
      </c>
      <c r="E743" s="2">
        <v>11347.65</v>
      </c>
      <c r="F743" s="2">
        <v>47575</v>
      </c>
      <c r="G743" s="2">
        <v>3919.27</v>
      </c>
      <c r="H743" s="2">
        <v>5892.69</v>
      </c>
      <c r="I743" s="2">
        <v>250</v>
      </c>
      <c r="J743" s="2">
        <v>11683.75</v>
      </c>
      <c r="K743" s="2">
        <v>11347.65</v>
      </c>
      <c r="L743" s="2">
        <v>47575</v>
      </c>
      <c r="M743" s="2">
        <v>3919.27</v>
      </c>
      <c r="N743" s="2">
        <v>5892.69</v>
      </c>
      <c r="O743" s="2">
        <v>250</v>
      </c>
      <c r="P743" s="8">
        <v>3.7934200000000001E-2</v>
      </c>
      <c r="Q743" s="8">
        <v>1.6766399999999999</v>
      </c>
      <c r="R743" s="8">
        <v>9.2328400000000005E-2</v>
      </c>
      <c r="S743" s="8">
        <f>Tabelle1[[#This Row],[corr_x]]/1000</f>
        <v>11.68375</v>
      </c>
      <c r="T743" s="8">
        <f>Tabelle1[[#This Row],[corr_y]]/1000</f>
        <v>11.34765</v>
      </c>
      <c r="U743" s="8">
        <f>Tabelle1[[#This Row],[corr_z]]/1000</f>
        <v>47.575000000000003</v>
      </c>
      <c r="V743" s="8">
        <f>Tabelle1[[#This Row],[corr_soma_x]]/1000</f>
        <v>3.91927</v>
      </c>
      <c r="W743" s="8">
        <f>Tabelle1[[#This Row],[corr_soma_y]]/1000</f>
        <v>5.89269</v>
      </c>
      <c r="X743" s="8">
        <f>Tabelle1[[#This Row],[corr_soma_z]]/1000</f>
        <v>0.25</v>
      </c>
    </row>
    <row r="744" spans="1:24" x14ac:dyDescent="0.35">
      <c r="A744" s="7" t="s">
        <v>16</v>
      </c>
      <c r="B744" s="7" t="s">
        <v>18</v>
      </c>
      <c r="C744" s="6">
        <v>204</v>
      </c>
      <c r="D744" s="2">
        <v>11276.9</v>
      </c>
      <c r="E744" s="2">
        <v>11336.800000000001</v>
      </c>
      <c r="F744" s="2">
        <v>47950</v>
      </c>
      <c r="G744" s="2">
        <v>3919.27</v>
      </c>
      <c r="H744" s="2">
        <v>5892.69</v>
      </c>
      <c r="I744" s="2">
        <v>250</v>
      </c>
      <c r="J744" s="2">
        <v>11276.9</v>
      </c>
      <c r="K744" s="2">
        <v>11336.800000000001</v>
      </c>
      <c r="L744" s="2">
        <v>47950</v>
      </c>
      <c r="M744" s="2">
        <v>3919.27</v>
      </c>
      <c r="N744" s="2">
        <v>5892.69</v>
      </c>
      <c r="O744" s="2">
        <v>250</v>
      </c>
      <c r="P744" s="8">
        <v>3.7055299999999999E-2</v>
      </c>
      <c r="Q744" s="8">
        <v>1.1343300000000001</v>
      </c>
      <c r="R744" s="8">
        <v>6.8925200000000006E-2</v>
      </c>
      <c r="S744" s="8">
        <f>Tabelle1[[#This Row],[corr_x]]/1000</f>
        <v>11.276899999999999</v>
      </c>
      <c r="T744" s="8">
        <f>Tabelle1[[#This Row],[corr_y]]/1000</f>
        <v>11.3368</v>
      </c>
      <c r="U744" s="8">
        <f>Tabelle1[[#This Row],[corr_z]]/1000</f>
        <v>47.95</v>
      </c>
      <c r="V744" s="8">
        <f>Tabelle1[[#This Row],[corr_soma_x]]/1000</f>
        <v>3.91927</v>
      </c>
      <c r="W744" s="8">
        <f>Tabelle1[[#This Row],[corr_soma_y]]/1000</f>
        <v>5.89269</v>
      </c>
      <c r="X744" s="8">
        <f>Tabelle1[[#This Row],[corr_soma_z]]/1000</f>
        <v>0.25</v>
      </c>
    </row>
    <row r="745" spans="1:24" x14ac:dyDescent="0.35">
      <c r="A745" s="7" t="s">
        <v>16</v>
      </c>
      <c r="B745" s="7" t="s">
        <v>18</v>
      </c>
      <c r="C745" s="6">
        <v>205</v>
      </c>
      <c r="D745" s="2">
        <v>11926.25</v>
      </c>
      <c r="E745" s="2">
        <v>11318.75</v>
      </c>
      <c r="F745" s="2">
        <v>48325</v>
      </c>
      <c r="G745" s="2">
        <v>3919.27</v>
      </c>
      <c r="H745" s="2">
        <v>5892.69</v>
      </c>
      <c r="I745" s="2">
        <v>250</v>
      </c>
      <c r="J745" s="2">
        <v>11926.25</v>
      </c>
      <c r="K745" s="2">
        <v>11318.75</v>
      </c>
      <c r="L745" s="2">
        <v>48325</v>
      </c>
      <c r="M745" s="2">
        <v>3919.27</v>
      </c>
      <c r="N745" s="2">
        <v>5892.69</v>
      </c>
      <c r="O745" s="2">
        <v>250</v>
      </c>
      <c r="P745" s="8">
        <v>3.8577899999999998E-2</v>
      </c>
      <c r="Q745" s="8">
        <v>1.9634400000000001</v>
      </c>
      <c r="R745" s="8">
        <v>0.164294</v>
      </c>
      <c r="S745" s="8">
        <f>Tabelle1[[#This Row],[corr_x]]/1000</f>
        <v>11.92625</v>
      </c>
      <c r="T745" s="8">
        <f>Tabelle1[[#This Row],[corr_y]]/1000</f>
        <v>11.31875</v>
      </c>
      <c r="U745" s="8">
        <f>Tabelle1[[#This Row],[corr_z]]/1000</f>
        <v>48.325000000000003</v>
      </c>
      <c r="V745" s="8">
        <f>Tabelle1[[#This Row],[corr_soma_x]]/1000</f>
        <v>3.91927</v>
      </c>
      <c r="W745" s="8">
        <f>Tabelle1[[#This Row],[corr_soma_y]]/1000</f>
        <v>5.89269</v>
      </c>
      <c r="X745" s="8">
        <f>Tabelle1[[#This Row],[corr_soma_z]]/1000</f>
        <v>0.25</v>
      </c>
    </row>
    <row r="746" spans="1:24" x14ac:dyDescent="0.35">
      <c r="A746" s="7" t="s">
        <v>16</v>
      </c>
      <c r="B746" s="7" t="s">
        <v>18</v>
      </c>
      <c r="C746" s="6">
        <v>206</v>
      </c>
      <c r="D746" s="2">
        <v>12159.800000000001</v>
      </c>
      <c r="E746" s="2">
        <v>11345.2</v>
      </c>
      <c r="F746" s="2">
        <v>49050</v>
      </c>
      <c r="G746" s="2">
        <v>3919.27</v>
      </c>
      <c r="H746" s="2">
        <v>5892.69</v>
      </c>
      <c r="I746" s="2">
        <v>250</v>
      </c>
      <c r="J746" s="2">
        <v>12159.800000000001</v>
      </c>
      <c r="K746" s="2">
        <v>11345.2</v>
      </c>
      <c r="L746" s="2">
        <v>49050</v>
      </c>
      <c r="M746" s="2">
        <v>3919.27</v>
      </c>
      <c r="N746" s="2">
        <v>5892.69</v>
      </c>
      <c r="O746" s="2">
        <v>250</v>
      </c>
      <c r="P746" s="8">
        <v>4.931E-2</v>
      </c>
      <c r="Q746" s="8">
        <v>1.78332</v>
      </c>
      <c r="R746" s="8">
        <v>8.4351400000000007E-2</v>
      </c>
      <c r="S746" s="8">
        <f>Tabelle1[[#This Row],[corr_x]]/1000</f>
        <v>12.159800000000001</v>
      </c>
      <c r="T746" s="8">
        <f>Tabelle1[[#This Row],[corr_y]]/1000</f>
        <v>11.3452</v>
      </c>
      <c r="U746" s="8">
        <f>Tabelle1[[#This Row],[corr_z]]/1000</f>
        <v>49.05</v>
      </c>
      <c r="V746" s="8">
        <f>Tabelle1[[#This Row],[corr_soma_x]]/1000</f>
        <v>3.91927</v>
      </c>
      <c r="W746" s="8">
        <f>Tabelle1[[#This Row],[corr_soma_y]]/1000</f>
        <v>5.89269</v>
      </c>
      <c r="X746" s="8">
        <f>Tabelle1[[#This Row],[corr_soma_z]]/1000</f>
        <v>0.25</v>
      </c>
    </row>
    <row r="747" spans="1:24" x14ac:dyDescent="0.35">
      <c r="A747" s="7" t="s">
        <v>16</v>
      </c>
      <c r="B747" s="7" t="s">
        <v>19</v>
      </c>
      <c r="C747" s="6">
        <v>26</v>
      </c>
      <c r="D747" s="2">
        <v>11725.8</v>
      </c>
      <c r="E747" s="2">
        <v>11376.15</v>
      </c>
      <c r="F747" s="2">
        <v>49075</v>
      </c>
      <c r="G747" s="2">
        <v>3919.27</v>
      </c>
      <c r="H747" s="2">
        <v>5892.69</v>
      </c>
      <c r="I747" s="2">
        <v>250</v>
      </c>
      <c r="J747" s="2">
        <v>11725.8</v>
      </c>
      <c r="K747" s="2">
        <v>11376.15</v>
      </c>
      <c r="L747" s="2">
        <v>49075</v>
      </c>
      <c r="M747" s="2">
        <v>3919.27</v>
      </c>
      <c r="N747" s="2">
        <v>5892.69</v>
      </c>
      <c r="O747" s="2">
        <v>250</v>
      </c>
      <c r="P747" s="8">
        <v>5.7030400000000002E-2</v>
      </c>
      <c r="Q747" s="8">
        <v>1.78485</v>
      </c>
      <c r="R747" s="8">
        <v>8.93872E-2</v>
      </c>
      <c r="S747" s="8">
        <f>Tabelle1[[#This Row],[corr_x]]/1000</f>
        <v>11.7258</v>
      </c>
      <c r="T747" s="8">
        <f>Tabelle1[[#This Row],[corr_y]]/1000</f>
        <v>11.376149999999999</v>
      </c>
      <c r="U747" s="8">
        <f>Tabelle1[[#This Row],[corr_z]]/1000</f>
        <v>49.075000000000003</v>
      </c>
      <c r="V747" s="8">
        <f>Tabelle1[[#This Row],[corr_soma_x]]/1000</f>
        <v>3.91927</v>
      </c>
      <c r="W747" s="8">
        <f>Tabelle1[[#This Row],[corr_soma_y]]/1000</f>
        <v>5.89269</v>
      </c>
      <c r="X747" s="8">
        <f>Tabelle1[[#This Row],[corr_soma_z]]/1000</f>
        <v>0.25</v>
      </c>
    </row>
    <row r="748" spans="1:24" x14ac:dyDescent="0.35">
      <c r="A748" s="7" t="s">
        <v>16</v>
      </c>
      <c r="B748" s="7" t="s">
        <v>18</v>
      </c>
      <c r="C748" s="6">
        <v>207</v>
      </c>
      <c r="D748" s="2">
        <v>12036.699999999999</v>
      </c>
      <c r="E748" s="2">
        <v>11538.3</v>
      </c>
      <c r="F748" s="2">
        <v>49400</v>
      </c>
      <c r="G748" s="2">
        <v>3919.27</v>
      </c>
      <c r="H748" s="2">
        <v>5892.69</v>
      </c>
      <c r="I748" s="2">
        <v>250</v>
      </c>
      <c r="J748" s="2">
        <v>12036.699999999999</v>
      </c>
      <c r="K748" s="2">
        <v>11538.3</v>
      </c>
      <c r="L748" s="2">
        <v>49400</v>
      </c>
      <c r="M748" s="2">
        <v>3919.27</v>
      </c>
      <c r="N748" s="2">
        <v>5892.69</v>
      </c>
      <c r="O748" s="2">
        <v>250</v>
      </c>
      <c r="P748" s="8">
        <v>3.8163999999999997E-2</v>
      </c>
      <c r="Q748" s="8">
        <v>0.75332299999999996</v>
      </c>
      <c r="R748" s="8">
        <v>4.2188799999999999E-2</v>
      </c>
      <c r="S748" s="8">
        <f>Tabelle1[[#This Row],[corr_x]]/1000</f>
        <v>12.0367</v>
      </c>
      <c r="T748" s="8">
        <f>Tabelle1[[#This Row],[corr_y]]/1000</f>
        <v>11.5383</v>
      </c>
      <c r="U748" s="8">
        <f>Tabelle1[[#This Row],[corr_z]]/1000</f>
        <v>49.4</v>
      </c>
      <c r="V748" s="8">
        <f>Tabelle1[[#This Row],[corr_soma_x]]/1000</f>
        <v>3.91927</v>
      </c>
      <c r="W748" s="8">
        <f>Tabelle1[[#This Row],[corr_soma_y]]/1000</f>
        <v>5.89269</v>
      </c>
      <c r="X748" s="8">
        <f>Tabelle1[[#This Row],[corr_soma_z]]/1000</f>
        <v>0.25</v>
      </c>
    </row>
    <row r="749" spans="1:24" x14ac:dyDescent="0.35">
      <c r="A749" s="7" t="s">
        <v>16</v>
      </c>
      <c r="B749" s="7" t="s">
        <v>18</v>
      </c>
      <c r="C749" s="6">
        <v>208</v>
      </c>
      <c r="D749" s="2">
        <v>11882.5</v>
      </c>
      <c r="E749" s="2">
        <v>11302.05</v>
      </c>
      <c r="F749" s="2">
        <v>50525</v>
      </c>
      <c r="G749" s="2">
        <v>3919.27</v>
      </c>
      <c r="H749" s="2">
        <v>5892.69</v>
      </c>
      <c r="I749" s="2">
        <v>250</v>
      </c>
      <c r="J749" s="2">
        <v>11882.5</v>
      </c>
      <c r="K749" s="2">
        <v>11302.05</v>
      </c>
      <c r="L749" s="2">
        <v>50525</v>
      </c>
      <c r="M749" s="2">
        <v>3919.27</v>
      </c>
      <c r="N749" s="2">
        <v>5892.69</v>
      </c>
      <c r="O749" s="2">
        <v>250</v>
      </c>
      <c r="P749" s="8">
        <v>3.0691099999999999E-2</v>
      </c>
      <c r="Q749" s="8">
        <v>0.65027900000000005</v>
      </c>
      <c r="R749" s="8">
        <v>4.09196E-2</v>
      </c>
      <c r="S749" s="8">
        <f>Tabelle1[[#This Row],[corr_x]]/1000</f>
        <v>11.8825</v>
      </c>
      <c r="T749" s="8">
        <f>Tabelle1[[#This Row],[corr_y]]/1000</f>
        <v>11.302049999999999</v>
      </c>
      <c r="U749" s="8">
        <f>Tabelle1[[#This Row],[corr_z]]/1000</f>
        <v>50.524999999999999</v>
      </c>
      <c r="V749" s="8">
        <f>Tabelle1[[#This Row],[corr_soma_x]]/1000</f>
        <v>3.91927</v>
      </c>
      <c r="W749" s="8">
        <f>Tabelle1[[#This Row],[corr_soma_y]]/1000</f>
        <v>5.89269</v>
      </c>
      <c r="X749" s="8">
        <f>Tabelle1[[#This Row],[corr_soma_z]]/1000</f>
        <v>0.25</v>
      </c>
    </row>
    <row r="750" spans="1:24" x14ac:dyDescent="0.35">
      <c r="A750" s="7" t="s">
        <v>16</v>
      </c>
      <c r="B750" s="7" t="s">
        <v>18</v>
      </c>
      <c r="C750" s="6">
        <v>209</v>
      </c>
      <c r="D750" s="2">
        <v>11815.8</v>
      </c>
      <c r="E750" s="2">
        <v>11376.300000000001</v>
      </c>
      <c r="F750" s="2">
        <v>50950</v>
      </c>
      <c r="G750" s="2">
        <v>3919.27</v>
      </c>
      <c r="H750" s="2">
        <v>5892.69</v>
      </c>
      <c r="I750" s="2">
        <v>250</v>
      </c>
      <c r="J750" s="2">
        <v>11815.8</v>
      </c>
      <c r="K750" s="2">
        <v>11376.300000000001</v>
      </c>
      <c r="L750" s="2">
        <v>50950</v>
      </c>
      <c r="M750" s="2">
        <v>3919.27</v>
      </c>
      <c r="N750" s="2">
        <v>5892.69</v>
      </c>
      <c r="O750" s="2">
        <v>250</v>
      </c>
      <c r="P750" s="8">
        <v>4.7741899999999997E-2</v>
      </c>
      <c r="Q750" s="8">
        <v>1.3369800000000001</v>
      </c>
      <c r="R750" s="8">
        <v>8.3691100000000004E-2</v>
      </c>
      <c r="S750" s="8">
        <f>Tabelle1[[#This Row],[corr_x]]/1000</f>
        <v>11.815799999999999</v>
      </c>
      <c r="T750" s="8">
        <f>Tabelle1[[#This Row],[corr_y]]/1000</f>
        <v>11.376300000000001</v>
      </c>
      <c r="U750" s="8">
        <f>Tabelle1[[#This Row],[corr_z]]/1000</f>
        <v>50.95</v>
      </c>
      <c r="V750" s="8">
        <f>Tabelle1[[#This Row],[corr_soma_x]]/1000</f>
        <v>3.91927</v>
      </c>
      <c r="W750" s="8">
        <f>Tabelle1[[#This Row],[corr_soma_y]]/1000</f>
        <v>5.89269</v>
      </c>
      <c r="X750" s="8">
        <f>Tabelle1[[#This Row],[corr_soma_z]]/1000</f>
        <v>0.25</v>
      </c>
    </row>
    <row r="751" spans="1:24" x14ac:dyDescent="0.35">
      <c r="A751" s="7" t="s">
        <v>16</v>
      </c>
      <c r="B751" s="7" t="s">
        <v>18</v>
      </c>
      <c r="C751" s="6">
        <v>210</v>
      </c>
      <c r="D751" s="2">
        <v>11977.3</v>
      </c>
      <c r="E751" s="2">
        <v>11331.75</v>
      </c>
      <c r="F751" s="2">
        <v>51175</v>
      </c>
      <c r="G751" s="2">
        <v>3919.27</v>
      </c>
      <c r="H751" s="2">
        <v>5892.69</v>
      </c>
      <c r="I751" s="2">
        <v>250</v>
      </c>
      <c r="J751" s="2">
        <v>11977.3</v>
      </c>
      <c r="K751" s="2">
        <v>11331.75</v>
      </c>
      <c r="L751" s="2">
        <v>51175</v>
      </c>
      <c r="M751" s="2">
        <v>3919.27</v>
      </c>
      <c r="N751" s="2">
        <v>5892.69</v>
      </c>
      <c r="O751" s="2">
        <v>250</v>
      </c>
      <c r="P751" s="8">
        <v>5.2597900000000003E-2</v>
      </c>
      <c r="Q751" s="8">
        <v>0.93090499999999998</v>
      </c>
      <c r="R751" s="8">
        <v>7.7559500000000003E-2</v>
      </c>
      <c r="S751" s="8">
        <f>Tabelle1[[#This Row],[corr_x]]/1000</f>
        <v>11.9773</v>
      </c>
      <c r="T751" s="8">
        <f>Tabelle1[[#This Row],[corr_y]]/1000</f>
        <v>11.33175</v>
      </c>
      <c r="U751" s="8">
        <f>Tabelle1[[#This Row],[corr_z]]/1000</f>
        <v>51.174999999999997</v>
      </c>
      <c r="V751" s="8">
        <f>Tabelle1[[#This Row],[corr_soma_x]]/1000</f>
        <v>3.91927</v>
      </c>
      <c r="W751" s="8">
        <f>Tabelle1[[#This Row],[corr_soma_y]]/1000</f>
        <v>5.89269</v>
      </c>
      <c r="X751" s="8">
        <f>Tabelle1[[#This Row],[corr_soma_z]]/1000</f>
        <v>0.25</v>
      </c>
    </row>
    <row r="752" spans="1:24" x14ac:dyDescent="0.35">
      <c r="A752" s="7" t="s">
        <v>16</v>
      </c>
      <c r="B752" s="7" t="s">
        <v>18</v>
      </c>
      <c r="C752" s="6">
        <v>211</v>
      </c>
      <c r="D752" s="2">
        <v>12022.85</v>
      </c>
      <c r="E752" s="2">
        <v>11418.55</v>
      </c>
      <c r="F752" s="2">
        <v>51825</v>
      </c>
      <c r="G752" s="2">
        <v>3919.27</v>
      </c>
      <c r="H752" s="2">
        <v>5892.69</v>
      </c>
      <c r="I752" s="2">
        <v>250</v>
      </c>
      <c r="J752" s="2">
        <v>12022.85</v>
      </c>
      <c r="K752" s="2">
        <v>11418.55</v>
      </c>
      <c r="L752" s="2">
        <v>51825</v>
      </c>
      <c r="M752" s="2">
        <v>3919.27</v>
      </c>
      <c r="N752" s="2">
        <v>5892.69</v>
      </c>
      <c r="O752" s="2">
        <v>250</v>
      </c>
      <c r="P752" s="8">
        <v>0.12639300000000001</v>
      </c>
      <c r="Q752" s="8">
        <v>1.69537</v>
      </c>
      <c r="R752" s="8">
        <v>0.13902100000000001</v>
      </c>
      <c r="S752" s="8">
        <f>Tabelle1[[#This Row],[corr_x]]/1000</f>
        <v>12.02285</v>
      </c>
      <c r="T752" s="8">
        <f>Tabelle1[[#This Row],[corr_y]]/1000</f>
        <v>11.41855</v>
      </c>
      <c r="U752" s="8">
        <f>Tabelle1[[#This Row],[corr_z]]/1000</f>
        <v>51.825000000000003</v>
      </c>
      <c r="V752" s="8">
        <f>Tabelle1[[#This Row],[corr_soma_x]]/1000</f>
        <v>3.91927</v>
      </c>
      <c r="W752" s="8">
        <f>Tabelle1[[#This Row],[corr_soma_y]]/1000</f>
        <v>5.89269</v>
      </c>
      <c r="X752" s="8">
        <f>Tabelle1[[#This Row],[corr_soma_z]]/1000</f>
        <v>0.25</v>
      </c>
    </row>
    <row r="753" spans="1:24" x14ac:dyDescent="0.35">
      <c r="A753" s="7" t="s">
        <v>16</v>
      </c>
      <c r="B753" s="7" t="s">
        <v>18</v>
      </c>
      <c r="C753" s="6">
        <v>212</v>
      </c>
      <c r="D753" s="2">
        <v>12138.6</v>
      </c>
      <c r="E753" s="2">
        <v>11774.95</v>
      </c>
      <c r="F753" s="2">
        <v>52375</v>
      </c>
      <c r="G753" s="2">
        <v>3919.27</v>
      </c>
      <c r="H753" s="2">
        <v>5892.69</v>
      </c>
      <c r="I753" s="2">
        <v>250</v>
      </c>
      <c r="J753" s="2">
        <v>12138.6</v>
      </c>
      <c r="K753" s="2">
        <v>11774.95</v>
      </c>
      <c r="L753" s="2">
        <v>52375</v>
      </c>
      <c r="M753" s="2">
        <v>3919.27</v>
      </c>
      <c r="N753" s="2">
        <v>5892.69</v>
      </c>
      <c r="O753" s="2">
        <v>250</v>
      </c>
      <c r="P753" s="8">
        <v>0.10079299999999999</v>
      </c>
      <c r="Q753" s="8">
        <v>2.6312500000000001</v>
      </c>
      <c r="R753" s="8">
        <v>0.206953</v>
      </c>
      <c r="S753" s="8">
        <f>Tabelle1[[#This Row],[corr_x]]/1000</f>
        <v>12.1386</v>
      </c>
      <c r="T753" s="8">
        <f>Tabelle1[[#This Row],[corr_y]]/1000</f>
        <v>11.77495</v>
      </c>
      <c r="U753" s="8">
        <f>Tabelle1[[#This Row],[corr_z]]/1000</f>
        <v>52.375</v>
      </c>
      <c r="V753" s="8">
        <f>Tabelle1[[#This Row],[corr_soma_x]]/1000</f>
        <v>3.91927</v>
      </c>
      <c r="W753" s="8">
        <f>Tabelle1[[#This Row],[corr_soma_y]]/1000</f>
        <v>5.89269</v>
      </c>
      <c r="X753" s="8">
        <f>Tabelle1[[#This Row],[corr_soma_z]]/1000</f>
        <v>0.25</v>
      </c>
    </row>
    <row r="754" spans="1:24" x14ac:dyDescent="0.35">
      <c r="A754" s="7" t="s">
        <v>16</v>
      </c>
      <c r="B754" s="7" t="s">
        <v>18</v>
      </c>
      <c r="C754" s="6">
        <v>213</v>
      </c>
      <c r="D754" s="2">
        <v>11713.300000000001</v>
      </c>
      <c r="E754" s="2">
        <v>11532.9</v>
      </c>
      <c r="F754" s="2">
        <v>52875</v>
      </c>
      <c r="G754" s="2">
        <v>3919.27</v>
      </c>
      <c r="H754" s="2">
        <v>5892.69</v>
      </c>
      <c r="I754" s="2">
        <v>250</v>
      </c>
      <c r="J754" s="2">
        <v>11713.300000000001</v>
      </c>
      <c r="K754" s="2">
        <v>11532.9</v>
      </c>
      <c r="L754" s="2">
        <v>52875</v>
      </c>
      <c r="M754" s="2">
        <v>3919.27</v>
      </c>
      <c r="N754" s="2">
        <v>5892.69</v>
      </c>
      <c r="O754" s="2">
        <v>250</v>
      </c>
      <c r="P754" s="8">
        <v>4.6629299999999999E-2</v>
      </c>
      <c r="Q754" s="8">
        <v>1.1131500000000001</v>
      </c>
      <c r="R754" s="8">
        <v>4.90815E-2</v>
      </c>
      <c r="S754" s="8">
        <f>Tabelle1[[#This Row],[corr_x]]/1000</f>
        <v>11.7133</v>
      </c>
      <c r="T754" s="8">
        <f>Tabelle1[[#This Row],[corr_y]]/1000</f>
        <v>11.5329</v>
      </c>
      <c r="U754" s="8">
        <f>Tabelle1[[#This Row],[corr_z]]/1000</f>
        <v>52.875</v>
      </c>
      <c r="V754" s="8">
        <f>Tabelle1[[#This Row],[corr_soma_x]]/1000</f>
        <v>3.91927</v>
      </c>
      <c r="W754" s="8">
        <f>Tabelle1[[#This Row],[corr_soma_y]]/1000</f>
        <v>5.89269</v>
      </c>
      <c r="X754" s="8">
        <f>Tabelle1[[#This Row],[corr_soma_z]]/1000</f>
        <v>0.25</v>
      </c>
    </row>
    <row r="755" spans="1:24" x14ac:dyDescent="0.35">
      <c r="A755" s="7" t="s">
        <v>16</v>
      </c>
      <c r="B755" s="7" t="s">
        <v>18</v>
      </c>
      <c r="C755" s="6">
        <v>214</v>
      </c>
      <c r="D755" s="2">
        <v>11752.050000000001</v>
      </c>
      <c r="E755" s="2">
        <v>11797.35</v>
      </c>
      <c r="F755" s="2">
        <v>54075</v>
      </c>
      <c r="G755" s="2">
        <v>3919.27</v>
      </c>
      <c r="H755" s="2">
        <v>5892.69</v>
      </c>
      <c r="I755" s="2">
        <v>250</v>
      </c>
      <c r="J755" s="2">
        <v>11752.050000000001</v>
      </c>
      <c r="K755" s="2">
        <v>11797.35</v>
      </c>
      <c r="L755" s="2">
        <v>54075</v>
      </c>
      <c r="M755" s="2">
        <v>3919.27</v>
      </c>
      <c r="N755" s="2">
        <v>5892.69</v>
      </c>
      <c r="O755" s="2">
        <v>250</v>
      </c>
      <c r="P755" s="8">
        <v>2.3852399999999999E-2</v>
      </c>
      <c r="Q755" s="8">
        <v>2.8265699999999998</v>
      </c>
      <c r="R755" s="8">
        <v>0.201713</v>
      </c>
      <c r="S755" s="8">
        <f>Tabelle1[[#This Row],[corr_x]]/1000</f>
        <v>11.752050000000001</v>
      </c>
      <c r="T755" s="8">
        <f>Tabelle1[[#This Row],[corr_y]]/1000</f>
        <v>11.79735</v>
      </c>
      <c r="U755" s="8">
        <f>Tabelle1[[#This Row],[corr_z]]/1000</f>
        <v>54.075000000000003</v>
      </c>
      <c r="V755" s="8">
        <f>Tabelle1[[#This Row],[corr_soma_x]]/1000</f>
        <v>3.91927</v>
      </c>
      <c r="W755" s="8">
        <f>Tabelle1[[#This Row],[corr_soma_y]]/1000</f>
        <v>5.89269</v>
      </c>
      <c r="X755" s="8">
        <f>Tabelle1[[#This Row],[corr_soma_z]]/1000</f>
        <v>0.25</v>
      </c>
    </row>
    <row r="756" spans="1:24" x14ac:dyDescent="0.35">
      <c r="A756" s="7" t="s">
        <v>16</v>
      </c>
      <c r="B756" s="7" t="s">
        <v>18</v>
      </c>
      <c r="C756" s="6">
        <v>215</v>
      </c>
      <c r="D756" s="2">
        <v>11757.199999999999</v>
      </c>
      <c r="E756" s="2">
        <v>11597.2</v>
      </c>
      <c r="F756" s="2">
        <v>53950</v>
      </c>
      <c r="G756" s="2">
        <v>3919.27</v>
      </c>
      <c r="H756" s="2">
        <v>5892.69</v>
      </c>
      <c r="I756" s="2">
        <v>250</v>
      </c>
      <c r="J756" s="2">
        <v>11757.199999999999</v>
      </c>
      <c r="K756" s="2">
        <v>11597.2</v>
      </c>
      <c r="L756" s="2">
        <v>53950</v>
      </c>
      <c r="M756" s="2">
        <v>3919.27</v>
      </c>
      <c r="N756" s="2">
        <v>5892.69</v>
      </c>
      <c r="O756" s="2">
        <v>250</v>
      </c>
      <c r="P756" s="8">
        <v>4.4688199999999997E-2</v>
      </c>
      <c r="Q756" s="8">
        <v>0.68368200000000001</v>
      </c>
      <c r="R756" s="8">
        <v>3.51408E-2</v>
      </c>
      <c r="S756" s="8">
        <f>Tabelle1[[#This Row],[corr_x]]/1000</f>
        <v>11.757199999999999</v>
      </c>
      <c r="T756" s="8">
        <f>Tabelle1[[#This Row],[corr_y]]/1000</f>
        <v>11.597200000000001</v>
      </c>
      <c r="U756" s="8">
        <f>Tabelle1[[#This Row],[corr_z]]/1000</f>
        <v>53.95</v>
      </c>
      <c r="V756" s="8">
        <f>Tabelle1[[#This Row],[corr_soma_x]]/1000</f>
        <v>3.91927</v>
      </c>
      <c r="W756" s="8">
        <f>Tabelle1[[#This Row],[corr_soma_y]]/1000</f>
        <v>5.89269</v>
      </c>
      <c r="X756" s="8">
        <f>Tabelle1[[#This Row],[corr_soma_z]]/1000</f>
        <v>0.25</v>
      </c>
    </row>
    <row r="757" spans="1:24" x14ac:dyDescent="0.35">
      <c r="A757" s="7" t="s">
        <v>16</v>
      </c>
      <c r="B757" s="7" t="s">
        <v>18</v>
      </c>
      <c r="C757" s="6">
        <v>216</v>
      </c>
      <c r="D757" s="2">
        <v>11296.8</v>
      </c>
      <c r="E757" s="2">
        <v>11832.7</v>
      </c>
      <c r="F757" s="2">
        <v>54400</v>
      </c>
      <c r="G757" s="2">
        <v>3919.27</v>
      </c>
      <c r="H757" s="2">
        <v>5892.69</v>
      </c>
      <c r="I757" s="2">
        <v>250</v>
      </c>
      <c r="J757" s="2">
        <v>11296.8</v>
      </c>
      <c r="K757" s="2">
        <v>11832.7</v>
      </c>
      <c r="L757" s="2">
        <v>54400</v>
      </c>
      <c r="M757" s="2">
        <v>3919.27</v>
      </c>
      <c r="N757" s="2">
        <v>5892.69</v>
      </c>
      <c r="O757" s="2">
        <v>250</v>
      </c>
      <c r="P757" s="8">
        <v>3.0314000000000001E-2</v>
      </c>
      <c r="Q757" s="8">
        <v>1.00787</v>
      </c>
      <c r="R757" s="8">
        <v>5.7091000000000003E-2</v>
      </c>
      <c r="S757" s="8">
        <f>Tabelle1[[#This Row],[corr_x]]/1000</f>
        <v>11.296799999999999</v>
      </c>
      <c r="T757" s="8">
        <f>Tabelle1[[#This Row],[corr_y]]/1000</f>
        <v>11.832700000000001</v>
      </c>
      <c r="U757" s="8">
        <f>Tabelle1[[#This Row],[corr_z]]/1000</f>
        <v>54.4</v>
      </c>
      <c r="V757" s="8">
        <f>Tabelle1[[#This Row],[corr_soma_x]]/1000</f>
        <v>3.91927</v>
      </c>
      <c r="W757" s="8">
        <f>Tabelle1[[#This Row],[corr_soma_y]]/1000</f>
        <v>5.89269</v>
      </c>
      <c r="X757" s="8">
        <f>Tabelle1[[#This Row],[corr_soma_z]]/1000</f>
        <v>0.25</v>
      </c>
    </row>
    <row r="758" spans="1:24" x14ac:dyDescent="0.35">
      <c r="A758" s="7" t="s">
        <v>16</v>
      </c>
      <c r="B758" s="7" t="s">
        <v>18</v>
      </c>
      <c r="C758" s="6">
        <v>217</v>
      </c>
      <c r="D758" s="2">
        <v>10623.2</v>
      </c>
      <c r="E758" s="2">
        <v>12145.9</v>
      </c>
      <c r="F758" s="2">
        <v>54450</v>
      </c>
      <c r="G758" s="2">
        <v>3919.27</v>
      </c>
      <c r="H758" s="2">
        <v>5892.69</v>
      </c>
      <c r="I758" s="2">
        <v>250</v>
      </c>
      <c r="J758" s="2">
        <v>10623.2</v>
      </c>
      <c r="K758" s="2">
        <v>12145.9</v>
      </c>
      <c r="L758" s="2">
        <v>54450</v>
      </c>
      <c r="M758" s="2">
        <v>3919.27</v>
      </c>
      <c r="N758" s="2">
        <v>5892.69</v>
      </c>
      <c r="O758" s="2">
        <v>250</v>
      </c>
      <c r="P758" s="8">
        <v>3.6824099999999999E-2</v>
      </c>
      <c r="Q758" s="8">
        <v>1.02102</v>
      </c>
      <c r="R758" s="8">
        <v>4.22393E-2</v>
      </c>
      <c r="S758" s="8">
        <f>Tabelle1[[#This Row],[corr_x]]/1000</f>
        <v>10.623200000000001</v>
      </c>
      <c r="T758" s="8">
        <f>Tabelle1[[#This Row],[corr_y]]/1000</f>
        <v>12.145899999999999</v>
      </c>
      <c r="U758" s="8">
        <f>Tabelle1[[#This Row],[corr_z]]/1000</f>
        <v>54.45</v>
      </c>
      <c r="V758" s="8">
        <f>Tabelle1[[#This Row],[corr_soma_x]]/1000</f>
        <v>3.91927</v>
      </c>
      <c r="W758" s="8">
        <f>Tabelle1[[#This Row],[corr_soma_y]]/1000</f>
        <v>5.89269</v>
      </c>
      <c r="X758" s="8">
        <f>Tabelle1[[#This Row],[corr_soma_z]]/1000</f>
        <v>0.25</v>
      </c>
    </row>
    <row r="759" spans="1:24" x14ac:dyDescent="0.35">
      <c r="A759" s="7" t="s">
        <v>16</v>
      </c>
      <c r="B759" s="7" t="s">
        <v>18</v>
      </c>
      <c r="C759" s="6">
        <v>218</v>
      </c>
      <c r="D759" s="2">
        <v>10486.800000000001</v>
      </c>
      <c r="E759" s="2">
        <v>11870.8</v>
      </c>
      <c r="F759" s="2">
        <v>54700</v>
      </c>
      <c r="G759" s="2">
        <v>3919.27</v>
      </c>
      <c r="H759" s="2">
        <v>5892.69</v>
      </c>
      <c r="I759" s="2">
        <v>250</v>
      </c>
      <c r="J759" s="2">
        <v>10486.800000000001</v>
      </c>
      <c r="K759" s="2">
        <v>11870.8</v>
      </c>
      <c r="L759" s="2">
        <v>54700</v>
      </c>
      <c r="M759" s="2">
        <v>3919.27</v>
      </c>
      <c r="N759" s="2">
        <v>5892.69</v>
      </c>
      <c r="O759" s="2">
        <v>250</v>
      </c>
      <c r="P759" s="8">
        <v>6.6163100000000002E-2</v>
      </c>
      <c r="Q759" s="8">
        <v>1.06532</v>
      </c>
      <c r="R759" s="8">
        <v>5.1253E-2</v>
      </c>
      <c r="S759" s="8">
        <f>Tabelle1[[#This Row],[corr_x]]/1000</f>
        <v>10.486800000000001</v>
      </c>
      <c r="T759" s="8">
        <f>Tabelle1[[#This Row],[corr_y]]/1000</f>
        <v>11.870799999999999</v>
      </c>
      <c r="U759" s="8">
        <f>Tabelle1[[#This Row],[corr_z]]/1000</f>
        <v>54.7</v>
      </c>
      <c r="V759" s="8">
        <f>Tabelle1[[#This Row],[corr_soma_x]]/1000</f>
        <v>3.91927</v>
      </c>
      <c r="W759" s="8">
        <f>Tabelle1[[#This Row],[corr_soma_y]]/1000</f>
        <v>5.89269</v>
      </c>
      <c r="X759" s="8">
        <f>Tabelle1[[#This Row],[corr_soma_z]]/1000</f>
        <v>0.25</v>
      </c>
    </row>
    <row r="760" spans="1:24" x14ac:dyDescent="0.35">
      <c r="A760" s="7" t="s">
        <v>16</v>
      </c>
      <c r="B760" s="7" t="s">
        <v>18</v>
      </c>
      <c r="C760" s="6">
        <v>219</v>
      </c>
      <c r="D760" s="2">
        <v>9859.19</v>
      </c>
      <c r="E760" s="2">
        <v>12127.5</v>
      </c>
      <c r="F760" s="2">
        <v>54600</v>
      </c>
      <c r="G760" s="2">
        <v>3919.27</v>
      </c>
      <c r="H760" s="2">
        <v>5892.69</v>
      </c>
      <c r="I760" s="2">
        <v>250</v>
      </c>
      <c r="J760" s="2">
        <v>9859.19</v>
      </c>
      <c r="K760" s="2">
        <v>12127.5</v>
      </c>
      <c r="L760" s="2">
        <v>54600</v>
      </c>
      <c r="M760" s="2">
        <v>3919.27</v>
      </c>
      <c r="N760" s="2">
        <v>5892.69</v>
      </c>
      <c r="O760" s="2">
        <v>250</v>
      </c>
      <c r="P760" s="8">
        <v>2.3963499999999999E-2</v>
      </c>
      <c r="Q760" s="8">
        <v>0.92802399999999996</v>
      </c>
      <c r="R760" s="8">
        <v>5.2613899999999998E-2</v>
      </c>
      <c r="S760" s="8">
        <f>Tabelle1[[#This Row],[corr_x]]/1000</f>
        <v>9.8591899999999999</v>
      </c>
      <c r="T760" s="8">
        <f>Tabelle1[[#This Row],[corr_y]]/1000</f>
        <v>12.1275</v>
      </c>
      <c r="U760" s="8">
        <f>Tabelle1[[#This Row],[corr_z]]/1000</f>
        <v>54.6</v>
      </c>
      <c r="V760" s="8">
        <f>Tabelle1[[#This Row],[corr_soma_x]]/1000</f>
        <v>3.91927</v>
      </c>
      <c r="W760" s="8">
        <f>Tabelle1[[#This Row],[corr_soma_y]]/1000</f>
        <v>5.89269</v>
      </c>
      <c r="X760" s="8">
        <f>Tabelle1[[#This Row],[corr_soma_z]]/1000</f>
        <v>0.25</v>
      </c>
    </row>
    <row r="761" spans="1:24" x14ac:dyDescent="0.35">
      <c r="A761" s="7" t="s">
        <v>16</v>
      </c>
      <c r="B761" s="7" t="s">
        <v>18</v>
      </c>
      <c r="C761" s="6">
        <v>220</v>
      </c>
      <c r="D761" s="2">
        <v>9947.3050000000003</v>
      </c>
      <c r="E761" s="2">
        <v>12292.45</v>
      </c>
      <c r="F761" s="2">
        <v>54625</v>
      </c>
      <c r="G761" s="2">
        <v>3919.27</v>
      </c>
      <c r="H761" s="2">
        <v>5892.69</v>
      </c>
      <c r="I761" s="2">
        <v>250</v>
      </c>
      <c r="J761" s="2">
        <v>9947.3050000000003</v>
      </c>
      <c r="K761" s="2">
        <v>12292.45</v>
      </c>
      <c r="L761" s="2">
        <v>54625</v>
      </c>
      <c r="M761" s="2">
        <v>3919.27</v>
      </c>
      <c r="N761" s="2">
        <v>5892.69</v>
      </c>
      <c r="O761" s="2">
        <v>250</v>
      </c>
      <c r="P761" s="8">
        <v>2.6739700000000002E-2</v>
      </c>
      <c r="Q761" s="8">
        <v>0.43662200000000001</v>
      </c>
      <c r="R761" s="8">
        <v>2.16335E-2</v>
      </c>
      <c r="S761" s="8">
        <f>Tabelle1[[#This Row],[corr_x]]/1000</f>
        <v>9.9473050000000001</v>
      </c>
      <c r="T761" s="8">
        <f>Tabelle1[[#This Row],[corr_y]]/1000</f>
        <v>12.292450000000001</v>
      </c>
      <c r="U761" s="8">
        <f>Tabelle1[[#This Row],[corr_z]]/1000</f>
        <v>54.625</v>
      </c>
      <c r="V761" s="8">
        <f>Tabelle1[[#This Row],[corr_soma_x]]/1000</f>
        <v>3.91927</v>
      </c>
      <c r="W761" s="8">
        <f>Tabelle1[[#This Row],[corr_soma_y]]/1000</f>
        <v>5.89269</v>
      </c>
      <c r="X761" s="8">
        <f>Tabelle1[[#This Row],[corr_soma_z]]/1000</f>
        <v>0.25</v>
      </c>
    </row>
    <row r="762" spans="1:24" x14ac:dyDescent="0.35">
      <c r="A762" s="7" t="s">
        <v>16</v>
      </c>
      <c r="B762" s="7" t="s">
        <v>18</v>
      </c>
      <c r="C762" s="6">
        <v>221</v>
      </c>
      <c r="D762" s="2">
        <v>10071.6</v>
      </c>
      <c r="E762" s="2">
        <v>12061.8</v>
      </c>
      <c r="F762" s="2">
        <v>55200</v>
      </c>
      <c r="G762" s="2">
        <v>3919.27</v>
      </c>
      <c r="H762" s="2">
        <v>5892.69</v>
      </c>
      <c r="I762" s="2">
        <v>250</v>
      </c>
      <c r="J762" s="2">
        <v>10071.6</v>
      </c>
      <c r="K762" s="2">
        <v>12061.8</v>
      </c>
      <c r="L762" s="2">
        <v>55200</v>
      </c>
      <c r="M762" s="2">
        <v>3919.27</v>
      </c>
      <c r="N762" s="2">
        <v>5892.69</v>
      </c>
      <c r="O762" s="2">
        <v>250</v>
      </c>
      <c r="P762" s="8">
        <v>2.7913899999999998E-2</v>
      </c>
      <c r="Q762" s="8">
        <v>2.0089800000000002</v>
      </c>
      <c r="R762" s="8">
        <v>9.71133E-2</v>
      </c>
      <c r="S762" s="8">
        <f>Tabelle1[[#This Row],[corr_x]]/1000</f>
        <v>10.0716</v>
      </c>
      <c r="T762" s="8">
        <f>Tabelle1[[#This Row],[corr_y]]/1000</f>
        <v>12.0618</v>
      </c>
      <c r="U762" s="8">
        <f>Tabelle1[[#This Row],[corr_z]]/1000</f>
        <v>55.2</v>
      </c>
      <c r="V762" s="8">
        <f>Tabelle1[[#This Row],[corr_soma_x]]/1000</f>
        <v>3.91927</v>
      </c>
      <c r="W762" s="8">
        <f>Tabelle1[[#This Row],[corr_soma_y]]/1000</f>
        <v>5.89269</v>
      </c>
      <c r="X762" s="8">
        <f>Tabelle1[[#This Row],[corr_soma_z]]/1000</f>
        <v>0.25</v>
      </c>
    </row>
    <row r="763" spans="1:24" x14ac:dyDescent="0.35">
      <c r="A763" s="7" t="s">
        <v>16</v>
      </c>
      <c r="B763" s="7" t="s">
        <v>18</v>
      </c>
      <c r="C763" s="6">
        <v>222</v>
      </c>
      <c r="D763" s="2">
        <v>10296.450000000001</v>
      </c>
      <c r="E763" s="2">
        <v>12382.5</v>
      </c>
      <c r="F763" s="2">
        <v>55375</v>
      </c>
      <c r="G763" s="2">
        <v>3919.27</v>
      </c>
      <c r="H763" s="2">
        <v>5892.69</v>
      </c>
      <c r="I763" s="2">
        <v>250</v>
      </c>
      <c r="J763" s="2">
        <v>10296.450000000001</v>
      </c>
      <c r="K763" s="2">
        <v>12382.5</v>
      </c>
      <c r="L763" s="2">
        <v>55375</v>
      </c>
      <c r="M763" s="2">
        <v>3919.27</v>
      </c>
      <c r="N763" s="2">
        <v>5892.69</v>
      </c>
      <c r="O763" s="2">
        <v>250</v>
      </c>
      <c r="P763" s="8">
        <v>2.5779199999999999E-2</v>
      </c>
      <c r="Q763" s="8">
        <v>0.94934200000000002</v>
      </c>
      <c r="R763" s="8">
        <v>5.3970200000000003E-2</v>
      </c>
      <c r="S763" s="8">
        <f>Tabelle1[[#This Row],[corr_x]]/1000</f>
        <v>10.29645</v>
      </c>
      <c r="T763" s="8">
        <f>Tabelle1[[#This Row],[corr_y]]/1000</f>
        <v>12.3825</v>
      </c>
      <c r="U763" s="8">
        <f>Tabelle1[[#This Row],[corr_z]]/1000</f>
        <v>55.375</v>
      </c>
      <c r="V763" s="8">
        <f>Tabelle1[[#This Row],[corr_soma_x]]/1000</f>
        <v>3.91927</v>
      </c>
      <c r="W763" s="8">
        <f>Tabelle1[[#This Row],[corr_soma_y]]/1000</f>
        <v>5.89269</v>
      </c>
      <c r="X763" s="8">
        <f>Tabelle1[[#This Row],[corr_soma_z]]/1000</f>
        <v>0.25</v>
      </c>
    </row>
    <row r="764" spans="1:24" x14ac:dyDescent="0.35">
      <c r="A764" s="7" t="s">
        <v>16</v>
      </c>
      <c r="B764" s="7" t="s">
        <v>18</v>
      </c>
      <c r="C764" s="6">
        <v>223</v>
      </c>
      <c r="D764" s="2">
        <v>9328.2049999999999</v>
      </c>
      <c r="E764" s="2">
        <v>12853.65</v>
      </c>
      <c r="F764" s="2">
        <v>55375</v>
      </c>
      <c r="G764" s="2">
        <v>3919.27</v>
      </c>
      <c r="H764" s="2">
        <v>5892.69</v>
      </c>
      <c r="I764" s="2">
        <v>250</v>
      </c>
      <c r="J764" s="2">
        <v>9328.2049999999999</v>
      </c>
      <c r="K764" s="2">
        <v>12853.65</v>
      </c>
      <c r="L764" s="2">
        <v>55375</v>
      </c>
      <c r="M764" s="2">
        <v>3919.27</v>
      </c>
      <c r="N764" s="2">
        <v>5892.69</v>
      </c>
      <c r="O764" s="2">
        <v>250</v>
      </c>
      <c r="P764" s="8">
        <v>1.38672E-2</v>
      </c>
      <c r="Q764" s="8">
        <v>1.11809</v>
      </c>
      <c r="R764" s="8">
        <v>0.102173</v>
      </c>
      <c r="S764" s="8">
        <f>Tabelle1[[#This Row],[corr_x]]/1000</f>
        <v>9.3282050000000005</v>
      </c>
      <c r="T764" s="8">
        <f>Tabelle1[[#This Row],[corr_y]]/1000</f>
        <v>12.85365</v>
      </c>
      <c r="U764" s="8">
        <f>Tabelle1[[#This Row],[corr_z]]/1000</f>
        <v>55.375</v>
      </c>
      <c r="V764" s="8">
        <f>Tabelle1[[#This Row],[corr_soma_x]]/1000</f>
        <v>3.91927</v>
      </c>
      <c r="W764" s="8">
        <f>Tabelle1[[#This Row],[corr_soma_y]]/1000</f>
        <v>5.89269</v>
      </c>
      <c r="X764" s="8">
        <f>Tabelle1[[#This Row],[corr_soma_z]]/1000</f>
        <v>0.25</v>
      </c>
    </row>
    <row r="765" spans="1:24" x14ac:dyDescent="0.35">
      <c r="A765" s="7" t="s">
        <v>16</v>
      </c>
      <c r="B765" s="7" t="s">
        <v>18</v>
      </c>
      <c r="C765" s="6">
        <v>225</v>
      </c>
      <c r="D765" s="2">
        <v>9678.44</v>
      </c>
      <c r="E765" s="2">
        <v>13134.9</v>
      </c>
      <c r="F765" s="2">
        <v>55675</v>
      </c>
      <c r="G765" s="2">
        <v>3919.27</v>
      </c>
      <c r="H765" s="2">
        <v>5892.69</v>
      </c>
      <c r="I765" s="2">
        <v>250</v>
      </c>
      <c r="J765" s="2">
        <v>9678.44</v>
      </c>
      <c r="K765" s="2">
        <v>13134.9</v>
      </c>
      <c r="L765" s="2">
        <v>55675</v>
      </c>
      <c r="M765" s="2">
        <v>3919.27</v>
      </c>
      <c r="N765" s="2">
        <v>5892.69</v>
      </c>
      <c r="O765" s="2">
        <v>250</v>
      </c>
      <c r="P765" s="8">
        <v>3.0721999999999999E-2</v>
      </c>
      <c r="Q765" s="8">
        <v>0.76822999999999997</v>
      </c>
      <c r="R765" s="8">
        <v>3.3852100000000003E-2</v>
      </c>
      <c r="S765" s="8">
        <f>Tabelle1[[#This Row],[corr_x]]/1000</f>
        <v>9.6784400000000002</v>
      </c>
      <c r="T765" s="8">
        <f>Tabelle1[[#This Row],[corr_y]]/1000</f>
        <v>13.1349</v>
      </c>
      <c r="U765" s="8">
        <f>Tabelle1[[#This Row],[corr_z]]/1000</f>
        <v>55.674999999999997</v>
      </c>
      <c r="V765" s="8">
        <f>Tabelle1[[#This Row],[corr_soma_x]]/1000</f>
        <v>3.91927</v>
      </c>
      <c r="W765" s="8">
        <f>Tabelle1[[#This Row],[corr_soma_y]]/1000</f>
        <v>5.89269</v>
      </c>
      <c r="X765" s="8">
        <f>Tabelle1[[#This Row],[corr_soma_z]]/1000</f>
        <v>0.25</v>
      </c>
    </row>
    <row r="766" spans="1:24" x14ac:dyDescent="0.35">
      <c r="A766" s="7"/>
      <c r="B766" s="7"/>
      <c r="C766" s="6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24" x14ac:dyDescent="0.35">
      <c r="A767" s="7"/>
      <c r="B767" s="7"/>
      <c r="C767" s="6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24" x14ac:dyDescent="0.35">
      <c r="A768" s="7"/>
      <c r="B768" s="7"/>
      <c r="C768" s="6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x14ac:dyDescent="0.35">
      <c r="A769" s="7"/>
      <c r="B769" s="7"/>
      <c r="C769" s="6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x14ac:dyDescent="0.35">
      <c r="A770" s="7"/>
      <c r="B770" s="7"/>
      <c r="C770" s="6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x14ac:dyDescent="0.35">
      <c r="A771" s="7"/>
      <c r="B771" s="7"/>
      <c r="C771" s="6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x14ac:dyDescent="0.35">
      <c r="A772" s="7"/>
      <c r="B772" s="7"/>
      <c r="C772" s="6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x14ac:dyDescent="0.35">
      <c r="A773" s="7"/>
      <c r="B773" s="7"/>
      <c r="C773" s="6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x14ac:dyDescent="0.35">
      <c r="A774" s="7"/>
      <c r="B774" s="7"/>
      <c r="C774" s="6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x14ac:dyDescent="0.35">
      <c r="A775" s="7"/>
      <c r="B775" s="7"/>
      <c r="C775" s="6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x14ac:dyDescent="0.35">
      <c r="A776" s="7"/>
      <c r="B776" s="7"/>
      <c r="C776" s="6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x14ac:dyDescent="0.35">
      <c r="A777" s="7"/>
      <c r="B777" s="7"/>
      <c r="C777" s="6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x14ac:dyDescent="0.35">
      <c r="A778" s="7"/>
      <c r="B778" s="7"/>
      <c r="C778" s="6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x14ac:dyDescent="0.35">
      <c r="A779" s="7"/>
      <c r="B779" s="7"/>
      <c r="C779" s="6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x14ac:dyDescent="0.35">
      <c r="A780" s="7"/>
      <c r="B780" s="7"/>
      <c r="C780" s="6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</sheetData>
  <phoneticPr fontId="1" type="noConversion"/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Talapka, Petra</dc:creator>
  <cp:lastModifiedBy>Talapka, Petra</cp:lastModifiedBy>
  <dcterms:created xsi:type="dcterms:W3CDTF">2025-11-27T14:09:50Z</dcterms:created>
  <dcterms:modified xsi:type="dcterms:W3CDTF">2025-12-05T14:54:24Z</dcterms:modified>
</cp:coreProperties>
</file>